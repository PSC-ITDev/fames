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wwroot\fames\database\data\"/>
    </mc:Choice>
  </mc:AlternateContent>
  <xr:revisionPtr revIDLastSave="0" documentId="8_{B3F5F528-2BFE-4772-9AB0-EBB07E2C09DD}" xr6:coauthVersionLast="47" xr6:coauthVersionMax="47" xr10:uidLastSave="{00000000-0000-0000-0000-000000000000}"/>
  <bookViews>
    <workbookView xWindow="-110" yWindow="-110" windowWidth="19420" windowHeight="11500" xr2:uid="{F1B56378-2DC2-415E-B786-5A67577B4636}"/>
  </bookViews>
  <sheets>
    <sheet name="Sheet1" sheetId="1" r:id="rId1"/>
    <sheet name="Sheet2" sheetId="2" r:id="rId2"/>
  </sheets>
  <definedNames>
    <definedName name="_xlnm._FilterDatabase" localSheetId="0" hidden="1">Sheet1!$A$1:$Y$532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33" i="1" l="1"/>
  <c r="H533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483" i="1"/>
  <c r="I372" i="1"/>
  <c r="I371" i="1"/>
  <c r="I370" i="1"/>
  <c r="I75" i="1"/>
  <c r="I53" i="1"/>
  <c r="I463" i="1"/>
  <c r="I462" i="1"/>
  <c r="I74" i="1"/>
  <c r="I470" i="1"/>
  <c r="I531" i="1"/>
  <c r="I461" i="1"/>
  <c r="I52" i="1"/>
  <c r="I369" i="1"/>
  <c r="I368" i="1"/>
  <c r="I482" i="1"/>
  <c r="I460" i="1"/>
  <c r="I481" i="1"/>
  <c r="I480" i="1"/>
  <c r="I51" i="1"/>
  <c r="I458" i="1"/>
  <c r="I459" i="1"/>
  <c r="I50" i="1"/>
  <c r="I457" i="1"/>
  <c r="I530" i="1"/>
  <c r="I466" i="1"/>
  <c r="I529" i="1"/>
  <c r="I367" i="1"/>
  <c r="I479" i="1"/>
  <c r="I366" i="1"/>
  <c r="I365" i="1"/>
  <c r="I364" i="1"/>
  <c r="I363" i="1"/>
  <c r="I49" i="1"/>
  <c r="I465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73" i="1"/>
  <c r="I456" i="1"/>
  <c r="I528" i="1"/>
  <c r="I478" i="1"/>
  <c r="I48" i="1"/>
  <c r="I345" i="1"/>
  <c r="I344" i="1"/>
  <c r="I47" i="1"/>
  <c r="I527" i="1"/>
  <c r="I526" i="1"/>
  <c r="I525" i="1"/>
  <c r="I524" i="1"/>
  <c r="I455" i="1"/>
  <c r="I454" i="1"/>
  <c r="I453" i="1"/>
  <c r="I452" i="1"/>
  <c r="I343" i="1"/>
  <c r="I342" i="1"/>
  <c r="I523" i="1"/>
  <c r="I522" i="1"/>
  <c r="I341" i="1"/>
  <c r="I46" i="1"/>
  <c r="I45" i="1"/>
  <c r="I340" i="1"/>
  <c r="I339" i="1"/>
  <c r="I338" i="1"/>
  <c r="I337" i="1"/>
  <c r="I336" i="1"/>
  <c r="I335" i="1"/>
  <c r="I334" i="1"/>
  <c r="I333" i="1"/>
  <c r="I332" i="1"/>
  <c r="I450" i="1"/>
  <c r="I521" i="1"/>
  <c r="I10" i="1"/>
  <c r="I9" i="1"/>
  <c r="I520" i="1"/>
  <c r="I519" i="1"/>
  <c r="I451" i="1"/>
  <c r="I449" i="1"/>
  <c r="I331" i="1"/>
  <c r="I330" i="1"/>
  <c r="I329" i="1"/>
  <c r="I518" i="1"/>
  <c r="I448" i="1"/>
  <c r="I517" i="1"/>
  <c r="I516" i="1"/>
  <c r="I447" i="1"/>
  <c r="I66" i="1"/>
  <c r="I515" i="1"/>
  <c r="I328" i="1"/>
  <c r="I327" i="1"/>
  <c r="I65" i="1"/>
  <c r="I72" i="1"/>
  <c r="I71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8" i="1"/>
  <c r="I469" i="1"/>
  <c r="I64" i="1"/>
  <c r="I63" i="1"/>
  <c r="I313" i="1"/>
  <c r="I468" i="1"/>
  <c r="I44" i="1"/>
  <c r="I43" i="1"/>
  <c r="I7" i="1"/>
  <c r="I312" i="1"/>
  <c r="I42" i="1"/>
  <c r="I41" i="1"/>
  <c r="I514" i="1"/>
  <c r="I311" i="1"/>
  <c r="I513" i="1"/>
  <c r="I477" i="1"/>
  <c r="I476" i="1"/>
  <c r="I475" i="1"/>
  <c r="I474" i="1"/>
  <c r="I473" i="1"/>
  <c r="I472" i="1"/>
  <c r="I446" i="1"/>
  <c r="I62" i="1"/>
  <c r="I61" i="1"/>
  <c r="I40" i="1"/>
  <c r="I445" i="1"/>
  <c r="I70" i="1"/>
  <c r="I512" i="1"/>
  <c r="I471" i="1"/>
  <c r="I310" i="1"/>
  <c r="I309" i="1"/>
  <c r="I511" i="1"/>
  <c r="I510" i="1"/>
  <c r="I308" i="1"/>
  <c r="I509" i="1"/>
  <c r="I508" i="1"/>
  <c r="I307" i="1"/>
  <c r="I6" i="1"/>
  <c r="I444" i="1"/>
  <c r="I306" i="1"/>
  <c r="I443" i="1"/>
  <c r="I305" i="1"/>
  <c r="I304" i="1"/>
  <c r="I507" i="1"/>
  <c r="I303" i="1"/>
  <c r="I302" i="1"/>
  <c r="I464" i="1"/>
  <c r="I301" i="1"/>
  <c r="I39" i="1"/>
  <c r="I300" i="1"/>
  <c r="I299" i="1"/>
  <c r="I298" i="1"/>
  <c r="I297" i="1"/>
  <c r="I296" i="1"/>
  <c r="I506" i="1"/>
  <c r="I295" i="1"/>
  <c r="I294" i="1"/>
  <c r="I293" i="1"/>
  <c r="I292" i="1"/>
  <c r="I5" i="1"/>
  <c r="I467" i="1"/>
  <c r="I442" i="1"/>
  <c r="I291" i="1"/>
  <c r="I290" i="1"/>
  <c r="I67" i="1"/>
  <c r="I441" i="1"/>
  <c r="I440" i="1"/>
  <c r="I289" i="1"/>
  <c r="I505" i="1"/>
  <c r="I38" i="1"/>
  <c r="I504" i="1"/>
  <c r="I288" i="1"/>
  <c r="I287" i="1"/>
  <c r="I286" i="1"/>
  <c r="I285" i="1"/>
  <c r="I284" i="1"/>
  <c r="I283" i="1"/>
  <c r="I503" i="1"/>
  <c r="I37" i="1"/>
  <c r="I439" i="1"/>
  <c r="I282" i="1"/>
  <c r="I281" i="1"/>
  <c r="I280" i="1"/>
  <c r="I438" i="1"/>
  <c r="I279" i="1"/>
  <c r="I278" i="1"/>
  <c r="I437" i="1"/>
  <c r="I436" i="1"/>
  <c r="I4" i="1"/>
  <c r="I435" i="1"/>
  <c r="I3" i="1"/>
  <c r="I277" i="1"/>
  <c r="I276" i="1"/>
  <c r="I275" i="1"/>
  <c r="I274" i="1"/>
  <c r="I273" i="1"/>
  <c r="I2" i="1"/>
  <c r="I272" i="1"/>
  <c r="I271" i="1"/>
  <c r="I502" i="1"/>
  <c r="I69" i="1"/>
  <c r="I501" i="1"/>
  <c r="I500" i="1"/>
  <c r="I434" i="1"/>
  <c r="I270" i="1"/>
  <c r="I60" i="1"/>
  <c r="I433" i="1"/>
  <c r="I269" i="1"/>
  <c r="I268" i="1"/>
  <c r="I267" i="1"/>
  <c r="I266" i="1"/>
  <c r="I265" i="1"/>
  <c r="I264" i="1"/>
  <c r="I499" i="1"/>
  <c r="I263" i="1"/>
  <c r="I498" i="1"/>
  <c r="I262" i="1"/>
  <c r="I432" i="1"/>
  <c r="I261" i="1"/>
  <c r="I260" i="1"/>
  <c r="I497" i="1"/>
  <c r="I259" i="1"/>
  <c r="I258" i="1"/>
  <c r="I257" i="1"/>
  <c r="I256" i="1"/>
  <c r="I255" i="1"/>
  <c r="I36" i="1"/>
  <c r="I496" i="1"/>
  <c r="I35" i="1"/>
  <c r="I34" i="1"/>
  <c r="I33" i="1"/>
  <c r="I32" i="1"/>
  <c r="I254" i="1"/>
  <c r="I253" i="1"/>
  <c r="I431" i="1"/>
  <c r="I430" i="1"/>
  <c r="I252" i="1"/>
  <c r="I251" i="1"/>
  <c r="I250" i="1"/>
  <c r="I249" i="1"/>
  <c r="I59" i="1"/>
  <c r="I248" i="1"/>
  <c r="I247" i="1"/>
  <c r="I246" i="1"/>
  <c r="I429" i="1"/>
  <c r="I428" i="1"/>
  <c r="I245" i="1"/>
  <c r="I427" i="1"/>
  <c r="I426" i="1"/>
  <c r="I244" i="1"/>
  <c r="I243" i="1"/>
  <c r="I495" i="1"/>
  <c r="I242" i="1"/>
  <c r="I494" i="1"/>
  <c r="I425" i="1"/>
  <c r="I424" i="1"/>
  <c r="I423" i="1"/>
  <c r="I422" i="1"/>
  <c r="I241" i="1"/>
  <c r="I240" i="1"/>
  <c r="I239" i="1"/>
  <c r="I238" i="1"/>
  <c r="I237" i="1"/>
  <c r="I236" i="1"/>
  <c r="I235" i="1"/>
  <c r="I234" i="1"/>
  <c r="I233" i="1"/>
  <c r="I232" i="1"/>
  <c r="I421" i="1"/>
  <c r="I493" i="1"/>
  <c r="I492" i="1"/>
  <c r="I491" i="1"/>
  <c r="I231" i="1"/>
  <c r="I230" i="1"/>
  <c r="I229" i="1"/>
  <c r="I228" i="1"/>
  <c r="I227" i="1"/>
  <c r="I420" i="1"/>
  <c r="I226" i="1"/>
  <c r="I225" i="1"/>
  <c r="I224" i="1"/>
  <c r="I419" i="1"/>
  <c r="I418" i="1"/>
  <c r="I417" i="1"/>
  <c r="I223" i="1"/>
  <c r="I222" i="1"/>
  <c r="I221" i="1"/>
  <c r="I220" i="1"/>
  <c r="I490" i="1"/>
  <c r="I219" i="1"/>
  <c r="I218" i="1"/>
  <c r="I217" i="1"/>
  <c r="I416" i="1"/>
  <c r="I415" i="1"/>
  <c r="I414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413" i="1"/>
  <c r="I412" i="1"/>
  <c r="I203" i="1"/>
  <c r="I31" i="1"/>
  <c r="I202" i="1"/>
  <c r="I411" i="1"/>
  <c r="I489" i="1"/>
  <c r="I410" i="1"/>
  <c r="I409" i="1"/>
  <c r="I201" i="1"/>
  <c r="I200" i="1"/>
  <c r="I199" i="1"/>
  <c r="I488" i="1"/>
  <c r="I198" i="1"/>
  <c r="I197" i="1"/>
  <c r="I408" i="1"/>
  <c r="I196" i="1"/>
  <c r="I195" i="1"/>
  <c r="I194" i="1"/>
  <c r="I30" i="1"/>
  <c r="I407" i="1"/>
  <c r="I193" i="1"/>
  <c r="I192" i="1"/>
  <c r="I406" i="1"/>
  <c r="I191" i="1"/>
  <c r="I190" i="1"/>
  <c r="I189" i="1"/>
  <c r="I188" i="1"/>
  <c r="I58" i="1"/>
  <c r="I57" i="1"/>
  <c r="I56" i="1"/>
  <c r="I55" i="1"/>
  <c r="I29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487" i="1"/>
  <c r="I173" i="1"/>
  <c r="I405" i="1"/>
  <c r="I404" i="1"/>
  <c r="I403" i="1"/>
  <c r="I172" i="1"/>
  <c r="I171" i="1"/>
  <c r="I402" i="1"/>
  <c r="I401" i="1"/>
  <c r="I170" i="1"/>
  <c r="I169" i="1"/>
  <c r="I168" i="1"/>
  <c r="I167" i="1"/>
  <c r="I54" i="1"/>
  <c r="I166" i="1"/>
  <c r="I400" i="1"/>
  <c r="I28" i="1"/>
  <c r="I165" i="1"/>
  <c r="I27" i="1"/>
  <c r="I26" i="1"/>
  <c r="I164" i="1"/>
  <c r="I163" i="1"/>
  <c r="I162" i="1"/>
  <c r="I161" i="1"/>
  <c r="I486" i="1"/>
  <c r="I399" i="1"/>
  <c r="I398" i="1"/>
  <c r="I25" i="1"/>
  <c r="I160" i="1"/>
  <c r="I159" i="1"/>
  <c r="I158" i="1"/>
  <c r="I157" i="1"/>
  <c r="I156" i="1"/>
  <c r="I155" i="1"/>
  <c r="I154" i="1"/>
  <c r="I153" i="1"/>
  <c r="I152" i="1"/>
  <c r="I151" i="1"/>
  <c r="I397" i="1"/>
  <c r="I396" i="1"/>
  <c r="I150" i="1"/>
  <c r="I149" i="1"/>
  <c r="I148" i="1"/>
  <c r="I147" i="1"/>
  <c r="I395" i="1"/>
  <c r="I394" i="1"/>
  <c r="I146" i="1"/>
  <c r="I145" i="1"/>
  <c r="I144" i="1"/>
  <c r="I24" i="1"/>
  <c r="I143" i="1"/>
  <c r="I142" i="1"/>
  <c r="I141" i="1"/>
  <c r="I140" i="1"/>
  <c r="I139" i="1"/>
  <c r="I138" i="1"/>
  <c r="I137" i="1"/>
  <c r="I393" i="1"/>
  <c r="I136" i="1"/>
  <c r="I135" i="1"/>
  <c r="I134" i="1"/>
  <c r="I133" i="1"/>
  <c r="I132" i="1"/>
  <c r="I131" i="1"/>
  <c r="I130" i="1"/>
  <c r="I392" i="1"/>
  <c r="I391" i="1"/>
  <c r="I39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23" i="1"/>
  <c r="I485" i="1"/>
  <c r="I114" i="1"/>
  <c r="I113" i="1"/>
  <c r="I112" i="1"/>
  <c r="I111" i="1"/>
  <c r="I110" i="1"/>
  <c r="I109" i="1"/>
  <c r="I108" i="1"/>
  <c r="I107" i="1"/>
  <c r="I106" i="1"/>
  <c r="I105" i="1"/>
  <c r="I104" i="1"/>
  <c r="I22" i="1"/>
  <c r="I21" i="1"/>
  <c r="I103" i="1"/>
  <c r="I20" i="1"/>
  <c r="I19" i="1"/>
  <c r="I532" i="1"/>
  <c r="I102" i="1"/>
  <c r="I389" i="1"/>
  <c r="I101" i="1"/>
  <c r="I100" i="1"/>
  <c r="I99" i="1"/>
  <c r="I18" i="1"/>
  <c r="I17" i="1"/>
  <c r="I16" i="1"/>
  <c r="I15" i="1"/>
  <c r="I98" i="1"/>
  <c r="I97" i="1"/>
  <c r="I96" i="1"/>
  <c r="I95" i="1"/>
  <c r="I94" i="1"/>
  <c r="I14" i="1"/>
  <c r="I93" i="1"/>
  <c r="I92" i="1"/>
  <c r="I91" i="1"/>
  <c r="I90" i="1"/>
  <c r="I89" i="1"/>
  <c r="I88" i="1"/>
  <c r="I388" i="1"/>
  <c r="I13" i="1"/>
  <c r="I12" i="1"/>
  <c r="I87" i="1"/>
  <c r="I484" i="1"/>
  <c r="I86" i="1"/>
  <c r="I11" i="1"/>
  <c r="I85" i="1"/>
  <c r="I84" i="1"/>
  <c r="I68" i="1"/>
  <c r="I387" i="1"/>
  <c r="I83" i="1"/>
  <c r="I82" i="1"/>
  <c r="I81" i="1"/>
  <c r="I80" i="1"/>
  <c r="I79" i="1"/>
  <c r="I78" i="1"/>
  <c r="I77" i="1"/>
  <c r="I76" i="1"/>
  <c r="I386" i="1"/>
  <c r="I533" i="1" l="1"/>
</calcChain>
</file>

<file path=xl/sharedStrings.xml><?xml version="1.0" encoding="utf-8"?>
<sst xmlns="http://schemas.openxmlformats.org/spreadsheetml/2006/main" count="4378" uniqueCount="535">
  <si>
    <t>SNo.</t>
  </si>
  <si>
    <t>Quantity</t>
  </si>
  <si>
    <t>BUn</t>
  </si>
  <si>
    <t>ODep.Start</t>
  </si>
  <si>
    <t xml:space="preserve">   Cum.acq.value</t>
  </si>
  <si>
    <t xml:space="preserve">      Accum.dep.</t>
  </si>
  <si>
    <t xml:space="preserve">    End book val</t>
  </si>
  <si>
    <t>Life</t>
  </si>
  <si>
    <t>Class</t>
  </si>
  <si>
    <t>Cost Ctr</t>
  </si>
  <si>
    <t>Cost Center Desc</t>
  </si>
  <si>
    <t>Location</t>
  </si>
  <si>
    <t xml:space="preserve">  Start book.val</t>
  </si>
  <si>
    <t xml:space="preserve">   Trans.acq.val</t>
  </si>
  <si>
    <t xml:space="preserve">         PlndDep</t>
  </si>
  <si>
    <t xml:space="preserve">   Pld.unpl.dep.</t>
  </si>
  <si>
    <t xml:space="preserve"> Sep.pln.ord.dep</t>
  </si>
  <si>
    <t xml:space="preserve"> Sep.cum.ord.dep</t>
  </si>
  <si>
    <t xml:space="preserve"> Sep.cum.acq.val</t>
  </si>
  <si>
    <t xml:space="preserve">   Trns.ord.dep.</t>
  </si>
  <si>
    <t>PC</t>
  </si>
  <si>
    <t>POWER SUPPLY</t>
  </si>
  <si>
    <t>DGEN</t>
  </si>
  <si>
    <t>005/000</t>
  </si>
  <si>
    <t>ELECTRICAL</t>
  </si>
  <si>
    <t>ELECT</t>
  </si>
  <si>
    <t>MTH</t>
  </si>
  <si>
    <t>GENERAL PLANT - SP</t>
  </si>
  <si>
    <t>YARD</t>
  </si>
  <si>
    <t>PERSONNEL - SP</t>
  </si>
  <si>
    <t>MECHANICAL</t>
  </si>
  <si>
    <t>MECH</t>
  </si>
  <si>
    <t>GPLANT</t>
  </si>
  <si>
    <t>010/000</t>
  </si>
  <si>
    <t>MARINE OPERATION</t>
  </si>
  <si>
    <t>BARGE</t>
  </si>
  <si>
    <t>LABORATORY</t>
  </si>
  <si>
    <t>UNLOADER 2</t>
  </si>
  <si>
    <t>UL</t>
  </si>
  <si>
    <t>CONVEYING, SINTERING</t>
  </si>
  <si>
    <t>BC SNT</t>
  </si>
  <si>
    <t>DUST TREATMENT</t>
  </si>
  <si>
    <t>SINTERING, COMMON</t>
  </si>
  <si>
    <t>SINTER</t>
  </si>
  <si>
    <t>UNLOADING</t>
  </si>
  <si>
    <t>SAMPLING</t>
  </si>
  <si>
    <t>SUPPLY MATERIAL</t>
  </si>
  <si>
    <t>WHSE</t>
  </si>
  <si>
    <t>ADM BLDG</t>
  </si>
  <si>
    <t>POWER</t>
  </si>
  <si>
    <t>020/000</t>
  </si>
  <si>
    <t>MTH, COMMON</t>
  </si>
  <si>
    <t>BH</t>
  </si>
  <si>
    <t>MAIN BERTH</t>
  </si>
  <si>
    <t>MBERTH</t>
  </si>
  <si>
    <t>Chain Block 10-ton cap.</t>
  </si>
  <si>
    <t>PLANNING</t>
  </si>
  <si>
    <t>UNLOADER 1</t>
  </si>
  <si>
    <t>Chain Block 10 ton cap.</t>
  </si>
  <si>
    <t>COOLING</t>
  </si>
  <si>
    <t>Electric Drill</t>
  </si>
  <si>
    <t>Caterpillar Hydraulic Hose Press</t>
  </si>
  <si>
    <t>GEN-Tools and equipment</t>
  </si>
  <si>
    <t>Tools and Equipment</t>
  </si>
  <si>
    <t>Rockwell Hardness Tester</t>
  </si>
  <si>
    <t>FOH-Tools and equipment</t>
  </si>
  <si>
    <t>Portable Hardness Tester</t>
  </si>
  <si>
    <t>Atlas Copco Pneumatic Impact Wrench</t>
  </si>
  <si>
    <t>Tools for TH Brake 25/40 BS</t>
  </si>
  <si>
    <t>Tools for TH Brake 260 BS</t>
  </si>
  <si>
    <t>Tools for TH Brake 120 BS</t>
  </si>
  <si>
    <t>Tools for TH Brake 40 BS</t>
  </si>
  <si>
    <t>Tools for TH Brake 450 BS</t>
  </si>
  <si>
    <t>Hydraulic Handpump (ZD2825)</t>
  </si>
  <si>
    <t>Std. Socket Wrench 1/2 Drive</t>
  </si>
  <si>
    <t>Socket Wrench 110mm 2.5 drive</t>
  </si>
  <si>
    <t>Frequency Counter LDL-824S</t>
  </si>
  <si>
    <t>Impact Wrench</t>
  </si>
  <si>
    <t>Thermocouple PR</t>
  </si>
  <si>
    <t>Lever Hoists 1.5 ton cap.</t>
  </si>
  <si>
    <t>Bench Vise Grip</t>
  </si>
  <si>
    <t>Electric Grinder</t>
  </si>
  <si>
    <t>Crocodile Jack 5-ton cap.</t>
  </si>
  <si>
    <t>35 tonner Screw Jack</t>
  </si>
  <si>
    <t>FOOD SERVICES</t>
  </si>
  <si>
    <t>KITCHEN</t>
  </si>
  <si>
    <t>Jaw Bearing Puller 13-ton</t>
  </si>
  <si>
    <t>Hydraulic Jack 30-ton cap.</t>
  </si>
  <si>
    <t>MPOOL</t>
  </si>
  <si>
    <t>Chain Block 5-ton cap.</t>
  </si>
  <si>
    <t>BULLDOZERS</t>
  </si>
  <si>
    <t>HD Air Impact Wrench</t>
  </si>
  <si>
    <t>Tester Initiator 2/EX-PN-0719</t>
  </si>
  <si>
    <t>Handle Ratchet 500ml 1drive</t>
  </si>
  <si>
    <t>Fab. of Belt Conveyor Winding Mach.</t>
  </si>
  <si>
    <t>Hydraulic Jack 20T Cap.</t>
  </si>
  <si>
    <t>Drill AEG Percussion SB2-16</t>
  </si>
  <si>
    <t>JAPANESE STAFFHOUSE</t>
  </si>
  <si>
    <t>STAFFHSE</t>
  </si>
  <si>
    <t>Spot Repair Vulcanizing Machine</t>
  </si>
  <si>
    <t>Meter VSWR Power SW-200/2000</t>
  </si>
  <si>
    <t>Generator Swemar Type LSW-251</t>
  </si>
  <si>
    <t>Oscilloscope Dual 350MHZ VP 55358</t>
  </si>
  <si>
    <t>Oscilloscope Tpye LBD-518 100MHZ</t>
  </si>
  <si>
    <t>Chain Block 5 Ton cap.</t>
  </si>
  <si>
    <t>Hydraulic Jack 10 ton cap.</t>
  </si>
  <si>
    <t>Hydraulic Wire Cutter 700 kg/cm2</t>
  </si>
  <si>
    <t>Oil Jack for Slide Frame 50Ton</t>
  </si>
  <si>
    <t>Hydraulic Jack 5 ton cap.</t>
  </si>
  <si>
    <t>Hammer Rawhide Face 2-3/4,6-1/4</t>
  </si>
  <si>
    <t>Crimping Tools MH-11/83-001</t>
  </si>
  <si>
    <t>Torque Wrench</t>
  </si>
  <si>
    <t>SPM Bearing Analyzer BEA-52</t>
  </si>
  <si>
    <t>Dual Trace Oscilloscope</t>
  </si>
  <si>
    <t>Fab. of BC Winding Machine</t>
  </si>
  <si>
    <t>Hydraulic Press Large MEB-2000</t>
  </si>
  <si>
    <t>Hydraulic Press Small MEA-600</t>
  </si>
  <si>
    <t>Heating Plate for Vulc.Machine 2000mmBW</t>
  </si>
  <si>
    <t>Heating Plate for Vulc.Machine 1200mmBW</t>
  </si>
  <si>
    <t>Heating Plate for Vulc.Machine 600mmBW</t>
  </si>
  <si>
    <t>Water Bag 2000mm for Belt Vulc.Equipt</t>
  </si>
  <si>
    <t>Chain Block 2 Ton Cap.</t>
  </si>
  <si>
    <t>Hoist Lever 1.5T Cap.</t>
  </si>
  <si>
    <t>Chain Block 2-ton cap.</t>
  </si>
  <si>
    <t>Wrench Power Single Drum Type MF-30</t>
  </si>
  <si>
    <t>Plier Retaining Ring 150mm w/ 7 tip</t>
  </si>
  <si>
    <t>Jack Hyd.HSR-5067 w/ H.Pump RP6BR</t>
  </si>
  <si>
    <t>Hydraulic Push/Puller 30 ton</t>
  </si>
  <si>
    <t>Jack Hyd.HSR-506T w/ H.Pump</t>
  </si>
  <si>
    <t>Smith Oxy/Ace Regulator</t>
  </si>
  <si>
    <t>Wrench Erection 32mm</t>
  </si>
  <si>
    <t>Cutter Automatic GAS KT-5N</t>
  </si>
  <si>
    <t>Fab of BC Winding Machine</t>
  </si>
  <si>
    <t>Chain Block 1.5 Ton Cap</t>
  </si>
  <si>
    <t>Hoist Coping 1.5 Ton</t>
  </si>
  <si>
    <t>Tester Tension &amp; Comp'n 4.5kg cap</t>
  </si>
  <si>
    <t>Tester Tension &amp; Comp'n 1000g cap</t>
  </si>
  <si>
    <t>Power Hacksaw 1/3HP 40x15x30</t>
  </si>
  <si>
    <t>Hacksaw Blade (Front &amp; Rear)</t>
  </si>
  <si>
    <t>Lubricator Yamaha w/ grease nozzle</t>
  </si>
  <si>
    <t>Block Snatch 8-ton cap 150</t>
  </si>
  <si>
    <t>MARINE</t>
  </si>
  <si>
    <t>Bench Vise Adjustable Jaw Swivel</t>
  </si>
  <si>
    <t>Mechanical Puller CG285 Snap-on</t>
  </si>
  <si>
    <t>Lubricator Type:NER 2-5, 2 ltrs</t>
  </si>
  <si>
    <t>Alignment System Model ALI-2000</t>
  </si>
  <si>
    <t>Welding Machine Hitachi AC-ARC Type</t>
  </si>
  <si>
    <t>Welding Machine 220V 500A 43KVA</t>
  </si>
  <si>
    <t>Digital Thermometer TMDT1</t>
  </si>
  <si>
    <t>Wrench Impact 25mm cap 1drive</t>
  </si>
  <si>
    <t>Tools CLF Impeller Hub</t>
  </si>
  <si>
    <t>SDK Electric Light Cutter</t>
  </si>
  <si>
    <t>Lubricator Oil CS-12</t>
  </si>
  <si>
    <t>Oil Changer Asembly</t>
  </si>
  <si>
    <t>Lubricator Yamaha 880-I 45HPPH10A45</t>
  </si>
  <si>
    <t>Rachet 32 Tooth 3/4 Drive GL72TH</t>
  </si>
  <si>
    <t>Weld Fume Extractor Model SRF 2800</t>
  </si>
  <si>
    <t>Threader Pipe 1/8 to 1 cap</t>
  </si>
  <si>
    <t>Hoist Lever 1-1/2 cap.Mod L3-312</t>
  </si>
  <si>
    <t>Indentor Handheld Impact #316-2</t>
  </si>
  <si>
    <t>Gauge Ultrasonic Thickness</t>
  </si>
  <si>
    <t>Jack Hydraulic 5-ton cap</t>
  </si>
  <si>
    <t>Threader Pipe RIDGID 1/2 Dia</t>
  </si>
  <si>
    <t>File Set Snap-on HBN120</t>
  </si>
  <si>
    <t>Drill Straight Shank 27mm</t>
  </si>
  <si>
    <t>Probe Thermometer TIH 050/100-6</t>
  </si>
  <si>
    <t>Block Snatch Model:NG-1602 Sheave</t>
  </si>
  <si>
    <t>Block Chain 2-ton cap.</t>
  </si>
  <si>
    <t>Hydraulic Puller Set Model Master</t>
  </si>
  <si>
    <t>Block Chain 2-ton cap</t>
  </si>
  <si>
    <t>Hoist Coping 1-1/2 ton cap</t>
  </si>
  <si>
    <t>Chain Block 3-tonner</t>
  </si>
  <si>
    <t>Thickness Meter(Steel Cord Conv.Belt)</t>
  </si>
  <si>
    <t>Chain Block 5 Tonner</t>
  </si>
  <si>
    <t>Chain Block 2-ton cap</t>
  </si>
  <si>
    <t>Hoist Coping 1.5 ton cap</t>
  </si>
  <si>
    <t>Hydraulic Puller 30T Cap Master</t>
  </si>
  <si>
    <t>Air Compressor Model H5-20</t>
  </si>
  <si>
    <t>Machinist Vise Swivel Base</t>
  </si>
  <si>
    <t>Bench Beam Weighing Scale 150 kg</t>
  </si>
  <si>
    <t>SKF CMVP 10 Vibration Pen</t>
  </si>
  <si>
    <t>SKF Vibration Pen w/ Protective Case</t>
  </si>
  <si>
    <t>Grinder Bench Wheel Size 7x1x5/8</t>
  </si>
  <si>
    <t>Tamper Handheld Tie Model TT-B2</t>
  </si>
  <si>
    <t>Benders Hydraulic Pipe Izume CAT</t>
  </si>
  <si>
    <t>Hydraulic Hand Crimping Tool</t>
  </si>
  <si>
    <t>Hoist Lever L4-505 1.5Tons</t>
  </si>
  <si>
    <t>Portable Infrared Thermal Scanner</t>
  </si>
  <si>
    <t>Yamada Air Power Pump</t>
  </si>
  <si>
    <t>Drill,Electric Magnetic Base</t>
  </si>
  <si>
    <t>Physical Fitness Instruments</t>
  </si>
  <si>
    <t>Hand Hoist Series 622,3-Ton Cap</t>
  </si>
  <si>
    <t>Lever Tool Series 637,1-1/2Ton Cap</t>
  </si>
  <si>
    <t>Hand Hoist Series 622,2-Ton Cap</t>
  </si>
  <si>
    <t>Hoist,Lever L4-505,1.5 Tons</t>
  </si>
  <si>
    <t>Special Tool for Friction Type</t>
  </si>
  <si>
    <t>Add'l.Cost:Special Tool for Friction</t>
  </si>
  <si>
    <t>Cylinder,Model:RC 251, 25Tons</t>
  </si>
  <si>
    <t>Cylinder,Model:RC 254, 25Tons</t>
  </si>
  <si>
    <t>Chain Block, 3-Tonner</t>
  </si>
  <si>
    <t>Hoist,Lever,L4-505,1.5 Tons</t>
  </si>
  <si>
    <t>Chain Block, 5-Tonner</t>
  </si>
  <si>
    <t>Grinder,Portable Straight</t>
  </si>
  <si>
    <t>Bench Grinder</t>
  </si>
  <si>
    <t>003/000</t>
  </si>
  <si>
    <t>Compression Tester</t>
  </si>
  <si>
    <t>Hydraulic Jack,20-Ton Cap.</t>
  </si>
  <si>
    <t>Hydraulic Jack,30-Ton Cap.</t>
  </si>
  <si>
    <t>Hydraulic Hand Pump,Model:P-39</t>
  </si>
  <si>
    <t>Hydraulic Hand Pump,Model:P-80</t>
  </si>
  <si>
    <t>Mechanical Puller,Style:3-Jaw</t>
  </si>
  <si>
    <t>Cylinder,25-Ton Cap.M:No RC-254</t>
  </si>
  <si>
    <t>Cylinder,25-Ton Cap.M:RC-251</t>
  </si>
  <si>
    <t>Coffing Hoist, 1-1/2 Ton Cap.</t>
  </si>
  <si>
    <t>Chain Block, 2-Tonner</t>
  </si>
  <si>
    <t>Utility Press Drill,15,Five-Speed</t>
  </si>
  <si>
    <t>Mini Oil-Water Separator at Uniflow</t>
  </si>
  <si>
    <t>Add'l cost to Fire Fighting Equipt</t>
  </si>
  <si>
    <t>Fire Fighting Equipment</t>
  </si>
  <si>
    <t>Add'l Cost to Fire Fighting Equipment</t>
  </si>
  <si>
    <t>Welding Machine,220V,500A,43KVA</t>
  </si>
  <si>
    <t>Crimping Tool for Amphenol RJ-45</t>
  </si>
  <si>
    <t>Prime Cut,Ultrathermic Gas Cutting</t>
  </si>
  <si>
    <t>Handle,Socket Ratchet 1Drive</t>
  </si>
  <si>
    <t>Caliper,VernierMitotuyo#2198-2</t>
  </si>
  <si>
    <t>Cutter,Plasma,100.120amp.230V,3-Phase</t>
  </si>
  <si>
    <t>Monitoring Bearing System,SKF CMPS</t>
  </si>
  <si>
    <t>Disc Grinder,125mm Dia.220V,1020W</t>
  </si>
  <si>
    <t>Heater,SKF Bearing Induction</t>
  </si>
  <si>
    <t>Grinder,180mm,Makita Disc</t>
  </si>
  <si>
    <t>Chain Block,10-Tonner</t>
  </si>
  <si>
    <t>Motorized Motor Pump for Vulcanizing</t>
  </si>
  <si>
    <t>Hoist,Coffing,1-1/2 Ton Cap.</t>
  </si>
  <si>
    <t>Dial Gauge Indicator w/Magnetic Base Stand</t>
  </si>
  <si>
    <t>Air Compressor,Energair</t>
  </si>
  <si>
    <t>Threader,Pipe Rigid Drop Head Ratio</t>
  </si>
  <si>
    <t>Spanner,Sledge Hammer,Size=100mm</t>
  </si>
  <si>
    <t>Spanner,Sledge Hammer,Size=90mm</t>
  </si>
  <si>
    <t>Spanner,Sledge Hammer,Size=110mm</t>
  </si>
  <si>
    <t>Pump,Grease Lubricator,Lincoln</t>
  </si>
  <si>
    <t>Grinder,De Luxe Bench:Thickness=1</t>
  </si>
  <si>
    <t>Swivel Base Util.Bench Vise,Jaw</t>
  </si>
  <si>
    <t>Portable Vulcanizing Machine</t>
  </si>
  <si>
    <t>Tester,Megger Insulation,500VDC</t>
  </si>
  <si>
    <t>Steel Scaffolding Plate</t>
  </si>
  <si>
    <t>Washer,High Pressure Hot &amp; Cold</t>
  </si>
  <si>
    <t>Vise,Bench (Stationary) Jaw Wid</t>
  </si>
  <si>
    <t>Winch,Electric,Model:Silver Winch</t>
  </si>
  <si>
    <t>Dial Gauge Indicator w/Magnet.Base</t>
  </si>
  <si>
    <t>Coupling Assy. Fluid,21HEM-A (32B</t>
  </si>
  <si>
    <t>P.Lathe Mach.,PL1100,Elec.Driven</t>
  </si>
  <si>
    <t>Lathe M.Chuck,Independent,M:K-123</t>
  </si>
  <si>
    <t>Lathe M.Chuck,Scroll,3-Jaws,K-117</t>
  </si>
  <si>
    <t>Coupling Hoist,Lever Block,1-1/2 Tons</t>
  </si>
  <si>
    <t>Chain Block, 1.5 Tons</t>
  </si>
  <si>
    <t>Torque Wrench,Man.Stah.NR730/20</t>
  </si>
  <si>
    <t>Torque Wrench,Man.Stah.73 NM/25</t>
  </si>
  <si>
    <t>Bit,Drill Tin-Coated Solid Carbide</t>
  </si>
  <si>
    <t>Coupling,Hoist,Mini Lever,1.5-Tons</t>
  </si>
  <si>
    <t>Tools, CLF Impeller Hub</t>
  </si>
  <si>
    <t>Hoist,Chain,1-Ton,PWB Anchor C-010</t>
  </si>
  <si>
    <t>Hoist,Lever,L4-505,1.5-Tons</t>
  </si>
  <si>
    <t>Hoist,Chain,2-Tons,PWB Anchor</t>
  </si>
  <si>
    <t>Block,Chain,3-ton.cap,Model:CB-030</t>
  </si>
  <si>
    <t>Block,Chain,10-ton.cap,Model:CB-10</t>
  </si>
  <si>
    <t>Block,Chain,5-ton.cap,Model:CB-050</t>
  </si>
  <si>
    <t>Hoist,Electric,1-T,M:010L;3-Phase</t>
  </si>
  <si>
    <t>Hydraulic Nut, HMV30;Maker:SKF</t>
  </si>
  <si>
    <t>Hoist,Lever,1.5T;Lift:3M;LBO15;L-4</t>
  </si>
  <si>
    <t>Hoist,Lever,1.5T,Lift:1.5M;LBO15</t>
  </si>
  <si>
    <t>Hoist,Lever;1.5T;Lift:1.5M;LBO15</t>
  </si>
  <si>
    <t>Wrench,Dig.Torq.3/4D;100-600lbs.</t>
  </si>
  <si>
    <t>Hoist,Lever,L4-505,1.5Ton,Vitac Jap.</t>
  </si>
  <si>
    <t>Pump,Air Ope.Grease,HP,Linc.M:926</t>
  </si>
  <si>
    <t>Block, Chain,5-Tons,Model:CB-050</t>
  </si>
  <si>
    <t>Belt Edge Vulc'r.w/al.fr;M:ANEV54</t>
  </si>
  <si>
    <t>Pail,Dispenser Luber,Grac.M:225-914</t>
  </si>
  <si>
    <t>Drill,Press,12-Speed,3/4 cap(20mm)</t>
  </si>
  <si>
    <t>Durmetal Handy Kit;2.5kg;Dur.Std.A&amp;B</t>
  </si>
  <si>
    <t>Pneu.Grease Pump Assy;LincMod:926</t>
  </si>
  <si>
    <t>Grinder,Pn.St;NH6650LW,NPK14,600RPM</t>
  </si>
  <si>
    <t>Grinder,Pneu.St;NH665K,NPK18,000RPM</t>
  </si>
  <si>
    <t>Cutter,Wire Rope;16mmcut.cap;900mmL</t>
  </si>
  <si>
    <t>Pump Assy,Automa.Barrel;M:BA-23H-40</t>
  </si>
  <si>
    <t>Calibrator Portable CA-100 255701-U3</t>
  </si>
  <si>
    <t>Digital Multimeter Model 7544-02 M7P7090</t>
  </si>
  <si>
    <t>Grinder Die Model 906H Makita</t>
  </si>
  <si>
    <t>Reducer Feeding Motor #1 PMED-12DA13</t>
  </si>
  <si>
    <t>#37 Box Composition Remote Control 20-1261</t>
  </si>
  <si>
    <t>Pump Assy Lower PN:800-366</t>
  </si>
  <si>
    <t>Plunger PN:801-201</t>
  </si>
  <si>
    <t>Grinder Portable Straight Makita</t>
  </si>
  <si>
    <t>Grinder Portable Medium</t>
  </si>
  <si>
    <t>Prime Cut Ultrathermic Gas Cutting</t>
  </si>
  <si>
    <t>Block Wire Rope Double 4.5T</t>
  </si>
  <si>
    <t>Gun and Cable Assy for Teromatic</t>
  </si>
  <si>
    <t>Snatchblock HD All Purpose</t>
  </si>
  <si>
    <t>Wrench Rachet 1Drive</t>
  </si>
  <si>
    <t>Chain Block 2T Cap</t>
  </si>
  <si>
    <t>Socket Wrench 1/2 8MM-36MM</t>
  </si>
  <si>
    <t>HD Pipe Cutter #6-S Cap.4-6</t>
  </si>
  <si>
    <t>Snatchblock, wire rope 6.5T cap.</t>
  </si>
  <si>
    <t>Electric Hand Drill 6301 220V</t>
  </si>
  <si>
    <t>Bench Grinder 3/4 HP Block &amp; Decker</t>
  </si>
  <si>
    <t>Mits. 6DR5 Engine/K65 engine/6DR14</t>
  </si>
  <si>
    <t>Coffing Hoist 1.5 Ton Cap.</t>
  </si>
  <si>
    <t>Wrench Torque 300ft/lb 3/4 drv</t>
  </si>
  <si>
    <t>O-Ring Sizing Cone w/ PI tape</t>
  </si>
  <si>
    <t>Calipher Digital Stainless Steel</t>
  </si>
  <si>
    <t>Aircompressor EnergyAir</t>
  </si>
  <si>
    <t>B/L PLANT, COMMON</t>
  </si>
  <si>
    <t>BLM</t>
  </si>
  <si>
    <t>Search Light TG-14</t>
  </si>
  <si>
    <t>Elec.Planner 4 Makita Brand</t>
  </si>
  <si>
    <t>Threader Assy, Pipe 3</t>
  </si>
  <si>
    <t>Ultrasonic Thickness Gauge</t>
  </si>
  <si>
    <t>Block Snatch 8 Tons</t>
  </si>
  <si>
    <t>Jack Hammer w/ pointed blade</t>
  </si>
  <si>
    <t>Piston Tools Set#8</t>
  </si>
  <si>
    <t>Resistance Decadence Box</t>
  </si>
  <si>
    <t>Digital Tachometer</t>
  </si>
  <si>
    <t>Digital Multimeter Type 1906</t>
  </si>
  <si>
    <t>Impact Wrench 1 Sq.Drv.1</t>
  </si>
  <si>
    <t>Puller Combination 2-jaw</t>
  </si>
  <si>
    <t>Block Chain 3-ton cap.</t>
  </si>
  <si>
    <t>Block Chain 5-ton cap.</t>
  </si>
  <si>
    <t>Coupling Hoist Lever Block 1 1/2 ton cap.</t>
  </si>
  <si>
    <t>Chain Block 10T cap</t>
  </si>
  <si>
    <t>Pipe Wrench 36L</t>
  </si>
  <si>
    <t>Chain Block 3T cap</t>
  </si>
  <si>
    <t>Chain Block 5T cap</t>
  </si>
  <si>
    <t>H/L PLANT, COMMON</t>
  </si>
  <si>
    <t>HLM</t>
  </si>
  <si>
    <t>Ginder Angle Makita Model 90</t>
  </si>
  <si>
    <t>UN</t>
  </si>
  <si>
    <t>Plasma Torch Head</t>
  </si>
  <si>
    <t>Winches Totally Enclosed Single</t>
  </si>
  <si>
    <t>POSI Lock Hydraulic Grip Puller</t>
  </si>
  <si>
    <t>Welding Machine Portable 300A</t>
  </si>
  <si>
    <t>Magnetic base accelator for SKF</t>
  </si>
  <si>
    <t>Demolition Hammer BH40F</t>
  </si>
  <si>
    <t>Hand Tap M48</t>
  </si>
  <si>
    <t>Separator Model U53T3</t>
  </si>
  <si>
    <t>Pulling Kit Model U-53J1</t>
  </si>
  <si>
    <t>Pneumatic Grease Pump</t>
  </si>
  <si>
    <t>Compressor Head SSCI Ingersol-Rand</t>
  </si>
  <si>
    <t>Chain Block 15ton cap</t>
  </si>
  <si>
    <t>Grinder Disc 125mmD 220V 1020W</t>
  </si>
  <si>
    <t>Chipping Hammer (Electric Type)</t>
  </si>
  <si>
    <t>Precision Flat Lever N0701</t>
  </si>
  <si>
    <t>Noise Level Meter</t>
  </si>
  <si>
    <t>Sewing Machine NP-7A</t>
  </si>
  <si>
    <t>Calipher Digital</t>
  </si>
  <si>
    <t>Chipping Hammer Elect Type</t>
  </si>
  <si>
    <t>Dial Gauge Indicator</t>
  </si>
  <si>
    <t>Drill Bit 50mm Dormer</t>
  </si>
  <si>
    <t>Portable Electric Mixer</t>
  </si>
  <si>
    <t>Infrared Thermometer (non-contact)</t>
  </si>
  <si>
    <t>Drill Bit 45mm Dormer</t>
  </si>
  <si>
    <t>Chipping Hammer (elect.type)</t>
  </si>
  <si>
    <t>Standard Ratchet Handle 1-in. drive</t>
  </si>
  <si>
    <t>Hoist Lever 1.5T cap. Model L4</t>
  </si>
  <si>
    <t>Gun &amp; Cable Assy for Teromatic</t>
  </si>
  <si>
    <t>Upgraded Laser Shaft Alignment Tool</t>
  </si>
  <si>
    <t>Mechanical Puller 3 Jaws</t>
  </si>
  <si>
    <t>Magnetic Stand, Universal #7015</t>
  </si>
  <si>
    <t>Repair Kit for Pneumatic Grease Pump</t>
  </si>
  <si>
    <t>Gun &amp; Cable Assy-for Teromatic</t>
  </si>
  <si>
    <t>015/000</t>
  </si>
  <si>
    <t>ITG</t>
  </si>
  <si>
    <t>BPI</t>
  </si>
  <si>
    <t>Air Compressor 2HP</t>
  </si>
  <si>
    <t>Portable Grease gun battery operated</t>
  </si>
  <si>
    <t>Industrial Vacuum Cleaner</t>
  </si>
  <si>
    <t>Maintenance tools</t>
  </si>
  <si>
    <t>Portable Grease Gun Battery Operated</t>
  </si>
  <si>
    <t>Hydraulic Jack Brand:Hydrotec</t>
  </si>
  <si>
    <t>Valve, High Pressure Model 740</t>
  </si>
  <si>
    <t>Blower, Handheld Portable Electric</t>
  </si>
  <si>
    <t>Washer, High Pressure</t>
  </si>
  <si>
    <t>UL Transidyn (1-pc Electric Hoist 2-ton cap)</t>
  </si>
  <si>
    <t>Air Blower 12V</t>
  </si>
  <si>
    <t>SAFETY</t>
  </si>
  <si>
    <t>SHR POWER PLANT</t>
  </si>
  <si>
    <t>SHR</t>
  </si>
  <si>
    <t>Installer Huck Bolt (Maintenance tools)</t>
  </si>
  <si>
    <t>Inflatable Raft, brand new</t>
  </si>
  <si>
    <t>10C-027-B80-MTH INFLATABLE LIFE RAFT</t>
  </si>
  <si>
    <t>Y&amp;B, COMMON</t>
  </si>
  <si>
    <t>SET</t>
  </si>
  <si>
    <t>SOLDERING STATION, 230V 80W</t>
  </si>
  <si>
    <t>GRINDER,ANGLE 125MMDIA MODEL:9005B (MEC)</t>
  </si>
  <si>
    <t>PORTABLE GAS DETECTOR, CROWCON TEERA 3 (MTH)</t>
  </si>
  <si>
    <t>FLOWMETER, BUNKER,  EG LS5676-400A, OVAL FLOWPET</t>
  </si>
  <si>
    <t>FLOWMETER,BUNKER,  EG LS5276-400A, OVAL FLOWPET</t>
  </si>
  <si>
    <t>COUPLING HOIST, LEVERBLOCK 1-1/12TON (MEC)</t>
  </si>
  <si>
    <t>DETECTOR, MULTI GAS, PORTABLE , MODEL:TETRA3 (SNT)</t>
  </si>
  <si>
    <t>HAMMER, SLEDGE, PROTO USA 1437-G, SIZE 32 (MECH)</t>
  </si>
  <si>
    <t>WRENCH, SLEDGE HAMMER RING-END, 32 MM (MECH)</t>
  </si>
  <si>
    <t>WRENCH, SLEDGE HAMMER RING-END, 36 MM (MECH)</t>
  </si>
  <si>
    <t>WRENCH, SLEDGE HAMMER RING-END, 41 MM (MECH)</t>
  </si>
  <si>
    <t>WRENCH, SLEDGE HAMMER RING-END, 50 MM (MECH)</t>
  </si>
  <si>
    <t>OIL TESTER, PORTABLE, DIELECTRIC, BA80 (ELE)</t>
  </si>
  <si>
    <t>GAUGE, ULTRASONIC DIG THICKNESS, OLYMPUS (MECH)</t>
  </si>
  <si>
    <t>LADDER, FIBERGLASS, EXT., ROVER LCS 430 GFA 14'/25</t>
  </si>
  <si>
    <t>PLANNING/ENGG</t>
  </si>
  <si>
    <t>DETECTOR, MULTI-GAS, PORTABLE PERSONAL, TETRA 3</t>
  </si>
  <si>
    <t>TOOLS, CUTTING OUTFIT OXY/ACE, ASSEMBLY (MEC)</t>
  </si>
  <si>
    <t>TOOLS, VICTOR WELDING&amp;CUTTING OUTFIT ASSY (SNT)</t>
  </si>
  <si>
    <t>TOOLS,CALIPER, VERNIER, MITUTOYO, 300MM (MEC)</t>
  </si>
  <si>
    <t>TOOLS, CUTTING OUTFIT OXY/ACE, ASSEMBLY (Y&amp;B)</t>
  </si>
  <si>
    <t>GRINDER, MAKITA BRAND (MTH)</t>
  </si>
  <si>
    <t>VISE, BENCH JAW (BLM)</t>
  </si>
  <si>
    <t>MEASURING DEVICE-CALIPER, VERNIER, MITUTOYO (MECH)</t>
  </si>
  <si>
    <t>LIFTING TOOL - SIMPLEX HYDRAULIC JACK (MEC)</t>
  </si>
  <si>
    <t>SM</t>
  </si>
  <si>
    <t>GAUGE BORE, MITUTOYO BRAND (MEC)</t>
  </si>
  <si>
    <t>SKIVER BELT FSK2, FLEXCO (MEC)</t>
  </si>
  <si>
    <t>TOOL APPLICATOR-MSRT-48-AL, FLEXCO (MEC)</t>
  </si>
  <si>
    <t>ULTRASONIC GAUGE -  Model  TI-45N (MEC)</t>
  </si>
  <si>
    <t>SENSOR,RESISTANCE TEMPERATURE DETECTOR (RTD), ELE</t>
  </si>
  <si>
    <t>CUTTING OUTFIT ASSY, FOR OXY/ACE (SNT)</t>
  </si>
  <si>
    <t>GLASS BODY REFILLABLE pH ELECTRODE (LAB)</t>
  </si>
  <si>
    <t>GRINDER, DC411KA-DEWALT BRAND (MTH)</t>
  </si>
  <si>
    <t>DIGITAL CLAMP METER, DCM400 SERIES (ELE)</t>
  </si>
  <si>
    <t>KILN-2</t>
  </si>
  <si>
    <t>HAND DRYER, WALL MOUNTED (HRGA)</t>
  </si>
  <si>
    <t>LADDER ALUMINUM – 12 STEPS (HRGA)</t>
  </si>
  <si>
    <t>KILN-1</t>
  </si>
  <si>
    <t>BATTERY CHARGER, BRAND - CRESTON (MTH)</t>
  </si>
  <si>
    <t>VIBROCONTROL 1500 - VIBRATION MONITORING  (ELE)</t>
  </si>
  <si>
    <t>GRASS CUTTER – 2-STROKE, MODEL TD40 (SNT)</t>
  </si>
  <si>
    <t>TEMPERATURE SENSOR, MODEL PT100 (ELE)</t>
  </si>
  <si>
    <t>CUTTING OUTFIT ASSY FOR OXY/ACE, CIGWELD  (SNT)</t>
  </si>
  <si>
    <t>MILLIAMP (mA)  PROCESS CLAMP METER, FLUKE 771 (ELE</t>
  </si>
  <si>
    <t>GAUGE, ULTRASONIC DIG THICKNESS FOR BC (MEC)</t>
  </si>
  <si>
    <t>FLOWMETER, OVAL FLOWPET 22MM FOR KILN 1 (ELE)</t>
  </si>
  <si>
    <t>LASER DISTANCE METER, BRAND – FLUKE 414D (ELE)</t>
  </si>
  <si>
    <t>KNIPEX CRIMP TOOL, PART NO. 97 52 10 (ELE)</t>
  </si>
  <si>
    <t>VISE, BENCH JAW 10”x 12” (MTH)</t>
  </si>
  <si>
    <t>REFERENCE KIT, OPTICAL PHASE CMVA 65 (MEC)</t>
  </si>
  <si>
    <t>EXTENSION FIBERGLASS LADDER @ JSH – SURE STEP (HRG</t>
  </si>
  <si>
    <t>JSH INSTALLATION OF  ELECTRONIC DOOR LOCK (HRGA)</t>
  </si>
  <si>
    <t>GASKET PUNCHER , FACOM BRAND – 1 SET (MTH)</t>
  </si>
  <si>
    <t>UNINTERRUPTIBLE POWER SUPPLY (UPS) FOR BLP/HLP-ELE</t>
  </si>
  <si>
    <t>HYDRAULIC LOCK NUT CYLINDER, BRAND-ENERPAC (MEC)</t>
  </si>
  <si>
    <t>CUTTING OUTFIT ASSY FOR OXY/ACE (MEC)</t>
  </si>
  <si>
    <t>REPLACEMENT OF TOP LOADING BALANCE (LAB)</t>
  </si>
  <si>
    <t>SMALL EIRICH MIXER EQUIPMENT w/ TRANSFORMER (LAB)</t>
  </si>
  <si>
    <t>EMERGENCY ESCAPE LADDER @ JSH (HRGA)</t>
  </si>
  <si>
    <t>SENSOR TEMPERATURE, PT100 EK3230007 (MECH)</t>
  </si>
  <si>
    <t>FLOWMETER, OVAL FLOWPET EG (ELE)</t>
  </si>
  <si>
    <t>HAND DRYER – AUTOMATIC, BRAND - ALPHA (HRGA)</t>
  </si>
  <si>
    <t>CUTTING OUTFIT ASSY FOR OXY/ACE (MTH)</t>
  </si>
  <si>
    <t>PYROMETER, PYROSPOT DG-54N (ELE)</t>
  </si>
  <si>
    <t>CUTTING OUTFIT ASSY FOR OXY/ACE (SNT)</t>
  </si>
  <si>
    <t>GRINDER ANGLE 125mm DIA-BRAND MAKITA (MECH)</t>
  </si>
  <si>
    <t>INDUCTIVE PROXIMITY SENSOR – AC SWITCH  (ELE)</t>
  </si>
  <si>
    <t>ANGLE GRINDER, BRAND-MAKITA, MODEL – N9500N (MTH)</t>
  </si>
  <si>
    <t>HAMMER, JACK ELECTRIC, BRAND – DEWALT (SNT)</t>
  </si>
  <si>
    <t>INVERTER, POWERFLEX 525 – BRAND ALLEN BRADLEY (ELE</t>
  </si>
  <si>
    <t>DISC GRINDER, BRAND – MAKITA, MODEL - N9500N (SNT)</t>
  </si>
  <si>
    <t>SOLDERING GUN – MODEL WELLER 8100UD 100W (MTH)</t>
  </si>
  <si>
    <t>THERMOMETER-DUAL FUNCTION INFRARED (MECH)</t>
  </si>
  <si>
    <t>CALIPER, VERNIER 300MM, MODEL CN 530-115 (MECH)</t>
  </si>
  <si>
    <t>AHD HYBRID CCTV TEST MONITOR (ELE)</t>
  </si>
  <si>
    <t>DRILL HAMMER, MODEL #HR 2020, BRAND-MAKITA (ELE)</t>
  </si>
  <si>
    <t>CALIPER – ELECTRONIC VERNIER DIGITAL (MEC)</t>
  </si>
  <si>
    <t>LADDER FIBER GLASS EXTENSION, CRESTON (SNT)</t>
  </si>
  <si>
    <t>CALIPER, VERNIER 300MM, MITUTOYO  (SNT)</t>
  </si>
  <si>
    <t>SKF MICROLOG VIBRATION ANALYZER, MODEL: CMXA-75 (M</t>
  </si>
  <si>
    <t>GREASE ANALYZER, MODEL: SDM-72 (MEC)</t>
  </si>
  <si>
    <t>SENSOR: WIND MONITOR – HD, MODEL 05108 (MTH)</t>
  </si>
  <si>
    <t>METEOROLOGICAL TRANSLATOR, MODEL 26800 (MTH)</t>
  </si>
  <si>
    <t>RIELLO UNINTERRUPTIBLE POWER SUPPLY (UPS) - ELE</t>
  </si>
  <si>
    <t>JACK, HYDRAULIC, ENERPAC – MODEL No. RCH-306 (MEC)</t>
  </si>
  <si>
    <t>MULTIFUNCTION CA150 CALIBRATOR – BRAND: YOKOGAWA</t>
  </si>
  <si>
    <t>JACK, HYDRAULIC CYLINDER, Model No. CLRG-2006</t>
  </si>
  <si>
    <t>CHAIN BLOCK, 5 TON CAP. MOTORIZED LIFTING (MECH)</t>
  </si>
  <si>
    <t>WEIGHING SCALE, SARTORIUS MIDRICS, CAP: 60KG</t>
  </si>
  <si>
    <t>BATTERY CHARGER 20AMPS 110VDC</t>
  </si>
  <si>
    <t>AIR LEAK VIEWER EQUIPMENT MODEL:MK-750</t>
  </si>
  <si>
    <t>NITROGEN CHARGING GROUP; MODEL:CGAE-4;BRAND:HARRIS</t>
  </si>
  <si>
    <t>ROTOR TOOL R082351200NJ01 FOR LAB HIGH SPEED MIXER</t>
  </si>
  <si>
    <t>MONITORING PEN, VIBRATION &amp; TEMP; SKF CMAS100-SL</t>
  </si>
  <si>
    <t>CHAIN BLOCK, 10TON CAPX3M LIFT; MODEL:CB-100; KITO</t>
  </si>
  <si>
    <t>CHAIN BLOCK, 15TON CAPX3.5M LIFT; CB-150; KITO</t>
  </si>
  <si>
    <t>ELECTRICAL RAIL TIE TAMPER; CAPEX NO. 200201</t>
  </si>
  <si>
    <t>SKF MICROLOG ANALYZER GXCMXA75-F-K-SL; CAPEX200235</t>
  </si>
  <si>
    <t>HYDRAULIC JACK 50-TONS CAP (ENERPAC); STROKE:250MM</t>
  </si>
  <si>
    <t>MAGNETIC DRILL PRESS; MODEL: DWE1622K</t>
  </si>
  <si>
    <t>DIGITAL ULTRASONIC THICKNESS GAUGE; OLYMPUS;</t>
  </si>
  <si>
    <t>DRUM PUMP,PORTABLE ROTARY PERSTALTIC (SHR REV.OS.)</t>
  </si>
  <si>
    <t>ULTRASONIC THICKNESS GAUGE;JFE ADVANTECH TI45-NA</t>
  </si>
  <si>
    <t>MOISTURE ANALYZER (METTLERTOLEDO)HC1013/01@ SNT-OC</t>
  </si>
  <si>
    <t>DIAMOND CORING TOOL DD120; HILTI; CAPEX200297</t>
  </si>
  <si>
    <t>CIVIL</t>
  </si>
  <si>
    <t>MOISTURE ANALYZER (METTLERTOLEDO)HC1013/01@ CFW</t>
  </si>
  <si>
    <t>PORTABLE SLURRY/ENGINE DRIVEN PUMP (ATLAS COPCO),</t>
  </si>
  <si>
    <t>COMMUNICATOR; BRAIN TERMINAL BT200-N00 YOKOGAWA</t>
  </si>
  <si>
    <t>DETECTOR, MULTI-GAS PORTABLE CROWCON T4</t>
  </si>
  <si>
    <t>PORTABLE SLURRY/ENGINE DRIVEN PUMP CAPEX#200298</t>
  </si>
  <si>
    <t>BATTERY CHARGER, REGULATED 30AMPS 24VDC</t>
  </si>
  <si>
    <t>INFRARED SENSOR; FLUKE THERMALERT 4.0 PYROMETER</t>
  </si>
  <si>
    <t>PH METER, HANDHELD ULTRAMETER II, CAPEX#200309</t>
  </si>
  <si>
    <t>CHARGING DEVICE, N2 GAS ACCUMULATOR (SHR TURBINE)</t>
  </si>
  <si>
    <t>BATTERY CHARGER, REGULATED 30AMPS 24VDC 440VAC</t>
  </si>
  <si>
    <t>WRENCH, TORQUE RATCHET 7/16" SOCKET 38NM</t>
  </si>
  <si>
    <t>ULTRASONIC THICKNESS GAUGE FOR STEEL,TI45-NA (MEC)</t>
  </si>
  <si>
    <t>VACUUM CALIBRATION PUMP, BEAMEX PGV (ELE)</t>
  </si>
  <si>
    <t>DRONE; DJI MAVIC AIR 3 FLY MORE COMBO (MTH)</t>
  </si>
  <si>
    <t>TEST WEIGHTS SET (1MG TO 1KG), W/ DKD CALIBRATION</t>
  </si>
  <si>
    <t>GREASE PUMP – AIR OPERATED, ARO LM2350E-42-B</t>
  </si>
  <si>
    <t>BATTERY ANALYZER, FLUKE BT521 WITH PROBE SET</t>
  </si>
  <si>
    <t>CARBON-SULFUR ANALYZER, INFRARED 2000°C 50HZ SUNDY</t>
  </si>
  <si>
    <t>PLASMA CUTTER, 440V 3PHASE YAMATEC HP160</t>
  </si>
  <si>
    <t>IMPACT WRENCH, CORDLESS 40V MAKITA DC40RA</t>
  </si>
  <si>
    <t>BATTERY CHARGER,REGULATD 20A 220VAC 110VDC GENIKOS</t>
  </si>
  <si>
    <t>VIBRATION METER, RS PRO 3102, FREQUENCY: 1HZ-20KHZ</t>
  </si>
  <si>
    <t>ULTRASONIC THICKNESS GAUGE (RUBBER), OLYMPUS 45MG</t>
  </si>
  <si>
    <t>Dept</t>
  </si>
  <si>
    <t>BLP</t>
  </si>
  <si>
    <t>PLN</t>
  </si>
  <si>
    <t>SNT</t>
  </si>
  <si>
    <t>ELE</t>
  </si>
  <si>
    <t>HRGA</t>
  </si>
  <si>
    <t>LAB</t>
  </si>
  <si>
    <t>MEC</t>
  </si>
  <si>
    <t>SUMA</t>
  </si>
  <si>
    <t>Asset No.</t>
  </si>
  <si>
    <t>Capitalization Date</t>
  </si>
  <si>
    <t>Asset Description</t>
  </si>
  <si>
    <t>Asset Class Description</t>
  </si>
  <si>
    <t>GL Account</t>
  </si>
  <si>
    <t>GL Account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</si>
</sst>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4" fontId="0" fillId="0" borderId="0" xfId="0" applyNumberFormat="1"/>
    <xf numFmtId="4" fontId="1" fillId="0" borderId="1" xfId="0" applyNumberFormat="1" applyFont="1" applyBorder="1"/>
    <xf numFmtId="0" fontId="1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6AC79-E511-4C43-80E9-C052C1FBEB23}">
  <dimension ref="A1:AA534"/>
  <sheetViews>
    <sheetView tabSelected="1" workbookViewId="0">
      <selection activeCell="D9" sqref="D9"/>
    </sheetView>
  </sheetViews>
  <sheetFormatPr defaultRowHeight="14.5" x14ac:dyDescent="0.35"/>
  <cols>
    <col min="1" max="1" width="9.36328125" customWidth="1"/>
    <col min="2" max="2" width="5.1796875" hidden="1" customWidth="1"/>
    <col min="3" max="3" width="10.7265625" bestFit="1" customWidth="1"/>
    <col min="5" max="5" width="4.54296875" bestFit="1" customWidth="1"/>
    <col min="6" max="6" width="32.36328125" customWidth="1"/>
    <col min="7" max="7" width="10.7265625" customWidth="1"/>
    <col min="8" max="8" width="17.7265625" customWidth="1"/>
    <col min="9" max="9" width="16.453125" customWidth="1"/>
    <col min="10" max="10" width="15.453125" bestFit="1" customWidth="1"/>
    <col min="11" max="11" width="0" hidden="1" customWidth="1"/>
    <col min="13" max="13" width="21.453125" customWidth="1"/>
    <col min="15" max="15" width="20.54296875" bestFit="1" customWidth="1"/>
    <col min="16" max="16" width="7.54296875" customWidth="1"/>
    <col min="18" max="18" width="13.90625" customWidth="1"/>
    <col min="19" max="19" width="24.1796875" customWidth="1"/>
    <col min="20" max="20" width="15.453125" hidden="1" customWidth="1"/>
    <col min="21" max="21" width="13.81640625" hidden="1" customWidth="1"/>
    <col min="22" max="22" width="14.54296875" hidden="1" customWidth="1"/>
    <col min="23" max="23" width="14.453125" hidden="1" customWidth="1"/>
    <col min="24" max="24" width="15.81640625" hidden="1" customWidth="1"/>
    <col min="25" max="25" width="16.7265625" hidden="1" customWidth="1"/>
    <col min="26" max="26" width="15.81640625" hidden="1" customWidth="1"/>
    <col min="27" max="27" width="14.26953125" hidden="1" customWidth="1"/>
  </cols>
  <sheetData>
    <row r="1" spans="1:27" s="4" customFormat="1" ht="29" x14ac:dyDescent="0.35">
      <c r="A1" s="5" t="s">
        <v>529</v>
      </c>
      <c r="B1" s="5" t="s">
        <v>0</v>
      </c>
      <c r="C1" s="6" t="s">
        <v>530</v>
      </c>
      <c r="D1" s="5" t="s">
        <v>1</v>
      </c>
      <c r="E1" s="5" t="s">
        <v>2</v>
      </c>
      <c r="F1" s="5" t="s">
        <v>531</v>
      </c>
      <c r="G1" s="5" t="s">
        <v>3</v>
      </c>
      <c r="H1" s="5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532</v>
      </c>
      <c r="N1" s="5" t="s">
        <v>9</v>
      </c>
      <c r="O1" s="5" t="s">
        <v>10</v>
      </c>
      <c r="P1" s="5" t="s">
        <v>520</v>
      </c>
      <c r="Q1" s="5" t="s">
        <v>11</v>
      </c>
      <c r="R1" s="5" t="s">
        <v>533</v>
      </c>
      <c r="S1" s="5" t="s">
        <v>534</v>
      </c>
      <c r="T1" s="4" t="s">
        <v>12</v>
      </c>
      <c r="U1" s="4" t="s">
        <v>13</v>
      </c>
      <c r="V1" s="4" t="s">
        <v>14</v>
      </c>
      <c r="W1" s="4" t="s">
        <v>15</v>
      </c>
      <c r="X1" s="4" t="s">
        <v>16</v>
      </c>
      <c r="Y1" s="4" t="s">
        <v>17</v>
      </c>
      <c r="Z1" s="4" t="s">
        <v>18</v>
      </c>
      <c r="AA1" s="4" t="s">
        <v>19</v>
      </c>
    </row>
    <row r="2" spans="1:27" x14ac:dyDescent="0.35">
      <c r="A2">
        <v>2328</v>
      </c>
      <c r="B2">
        <v>0</v>
      </c>
      <c r="C2" s="1">
        <v>38010</v>
      </c>
      <c r="D2">
        <v>7</v>
      </c>
      <c r="E2" t="s">
        <v>20</v>
      </c>
      <c r="F2" t="s">
        <v>353</v>
      </c>
      <c r="G2" s="1">
        <v>38018</v>
      </c>
      <c r="H2" s="2">
        <v>143960.09</v>
      </c>
      <c r="I2" s="2">
        <f t="shared" ref="I2:I65" si="0">J2-H2</f>
        <v>-143959.09</v>
      </c>
      <c r="J2">
        <v>1</v>
      </c>
      <c r="K2" t="s">
        <v>23</v>
      </c>
      <c r="L2">
        <v>10700040</v>
      </c>
      <c r="M2" t="s">
        <v>65</v>
      </c>
      <c r="N2">
        <v>21500</v>
      </c>
      <c r="O2" t="s">
        <v>310</v>
      </c>
      <c r="P2" t="s">
        <v>521</v>
      </c>
      <c r="Q2" t="s">
        <v>311</v>
      </c>
      <c r="R2">
        <v>164500</v>
      </c>
      <c r="S2" t="s">
        <v>63</v>
      </c>
      <c r="T2">
        <v>1</v>
      </c>
      <c r="U2">
        <v>0</v>
      </c>
      <c r="V2">
        <v>0</v>
      </c>
      <c r="W2">
        <v>0</v>
      </c>
      <c r="X2">
        <v>0</v>
      </c>
      <c r="Y2" s="2">
        <v>-85010.39</v>
      </c>
      <c r="Z2" s="2">
        <v>85011.39</v>
      </c>
      <c r="AA2">
        <v>0</v>
      </c>
    </row>
    <row r="3" spans="1:27" x14ac:dyDescent="0.35">
      <c r="A3">
        <v>2316</v>
      </c>
      <c r="B3">
        <v>0</v>
      </c>
      <c r="C3" s="1">
        <v>38111</v>
      </c>
      <c r="D3">
        <v>2</v>
      </c>
      <c r="E3" t="s">
        <v>20</v>
      </c>
      <c r="F3" t="s">
        <v>359</v>
      </c>
      <c r="G3" s="1">
        <v>38108</v>
      </c>
      <c r="H3" s="2">
        <v>41131.46</v>
      </c>
      <c r="I3" s="2">
        <f t="shared" si="0"/>
        <v>-41130.46</v>
      </c>
      <c r="J3">
        <v>1</v>
      </c>
      <c r="K3" t="s">
        <v>23</v>
      </c>
      <c r="L3">
        <v>10700040</v>
      </c>
      <c r="M3" t="s">
        <v>65</v>
      </c>
      <c r="N3">
        <v>21500</v>
      </c>
      <c r="O3" t="s">
        <v>310</v>
      </c>
      <c r="P3" t="s">
        <v>521</v>
      </c>
      <c r="Q3" t="s">
        <v>311</v>
      </c>
      <c r="R3">
        <v>164500</v>
      </c>
      <c r="S3" t="s">
        <v>63</v>
      </c>
      <c r="T3">
        <v>1</v>
      </c>
      <c r="U3">
        <v>0</v>
      </c>
      <c r="V3">
        <v>0</v>
      </c>
      <c r="W3">
        <v>0</v>
      </c>
      <c r="X3">
        <v>0</v>
      </c>
      <c r="Y3" s="2">
        <v>-41999</v>
      </c>
      <c r="Z3" s="2">
        <v>42000</v>
      </c>
      <c r="AA3">
        <v>0</v>
      </c>
    </row>
    <row r="4" spans="1:27" x14ac:dyDescent="0.35">
      <c r="A4">
        <v>2318</v>
      </c>
      <c r="B4">
        <v>0</v>
      </c>
      <c r="C4" s="1">
        <v>38111</v>
      </c>
      <c r="D4">
        <v>2</v>
      </c>
      <c r="E4" t="s">
        <v>20</v>
      </c>
      <c r="F4" t="s">
        <v>359</v>
      </c>
      <c r="G4" s="1">
        <v>38108</v>
      </c>
      <c r="H4" s="2">
        <v>20565.73</v>
      </c>
      <c r="I4" s="2">
        <f t="shared" si="0"/>
        <v>-20564.73</v>
      </c>
      <c r="J4">
        <v>1</v>
      </c>
      <c r="K4" t="s">
        <v>23</v>
      </c>
      <c r="L4">
        <v>10700040</v>
      </c>
      <c r="M4" t="s">
        <v>65</v>
      </c>
      <c r="N4">
        <v>21500</v>
      </c>
      <c r="O4" t="s">
        <v>310</v>
      </c>
      <c r="P4" t="s">
        <v>521</v>
      </c>
      <c r="Q4" t="s">
        <v>311</v>
      </c>
      <c r="R4">
        <v>164500</v>
      </c>
      <c r="S4" t="s">
        <v>63</v>
      </c>
      <c r="T4">
        <v>1</v>
      </c>
      <c r="U4">
        <v>0</v>
      </c>
      <c r="V4">
        <v>0</v>
      </c>
      <c r="W4">
        <v>0</v>
      </c>
      <c r="X4">
        <v>0</v>
      </c>
      <c r="Y4" s="2">
        <v>-45933.56</v>
      </c>
      <c r="Z4" s="2">
        <v>45934.559999999998</v>
      </c>
      <c r="AA4">
        <v>0</v>
      </c>
    </row>
    <row r="5" spans="1:27" x14ac:dyDescent="0.35">
      <c r="A5">
        <v>2923</v>
      </c>
      <c r="B5">
        <v>0</v>
      </c>
      <c r="C5" s="1">
        <v>41090</v>
      </c>
      <c r="D5">
        <v>1</v>
      </c>
      <c r="E5" t="s">
        <v>20</v>
      </c>
      <c r="F5" t="s">
        <v>394</v>
      </c>
      <c r="G5" s="1">
        <v>41091</v>
      </c>
      <c r="H5" s="2">
        <v>35150</v>
      </c>
      <c r="I5" s="2">
        <f t="shared" si="0"/>
        <v>-35149</v>
      </c>
      <c r="J5">
        <v>1</v>
      </c>
      <c r="K5" t="s">
        <v>23</v>
      </c>
      <c r="L5">
        <v>10700040</v>
      </c>
      <c r="M5" t="s">
        <v>65</v>
      </c>
      <c r="N5">
        <v>21500</v>
      </c>
      <c r="O5" t="s">
        <v>310</v>
      </c>
      <c r="P5" t="s">
        <v>521</v>
      </c>
      <c r="Q5" t="s">
        <v>311</v>
      </c>
      <c r="R5">
        <v>164500</v>
      </c>
      <c r="S5" t="s">
        <v>63</v>
      </c>
      <c r="T5">
        <v>1</v>
      </c>
      <c r="U5">
        <v>0</v>
      </c>
      <c r="V5">
        <v>0</v>
      </c>
      <c r="W5">
        <v>0</v>
      </c>
      <c r="X5">
        <v>0</v>
      </c>
      <c r="Y5" s="2">
        <v>-9292.7099999999991</v>
      </c>
      <c r="Z5" s="2">
        <v>9293.7099999999991</v>
      </c>
      <c r="AA5">
        <v>0</v>
      </c>
    </row>
    <row r="6" spans="1:27" x14ac:dyDescent="0.35">
      <c r="A6">
        <v>3095</v>
      </c>
      <c r="B6">
        <v>0</v>
      </c>
      <c r="C6" s="1">
        <v>41515</v>
      </c>
      <c r="D6">
        <v>1</v>
      </c>
      <c r="E6" t="s">
        <v>334</v>
      </c>
      <c r="F6" t="s">
        <v>412</v>
      </c>
      <c r="G6" s="1">
        <v>41518</v>
      </c>
      <c r="H6" s="2">
        <v>9700</v>
      </c>
      <c r="I6" s="2">
        <f t="shared" si="0"/>
        <v>-9699</v>
      </c>
      <c r="J6">
        <v>1</v>
      </c>
      <c r="K6" t="s">
        <v>23</v>
      </c>
      <c r="L6">
        <v>10700040</v>
      </c>
      <c r="M6" t="s">
        <v>65</v>
      </c>
      <c r="N6">
        <v>21500</v>
      </c>
      <c r="O6" t="s">
        <v>310</v>
      </c>
      <c r="P6" t="s">
        <v>521</v>
      </c>
      <c r="Q6" t="s">
        <v>311</v>
      </c>
      <c r="R6">
        <v>164500</v>
      </c>
      <c r="S6" t="s">
        <v>63</v>
      </c>
      <c r="T6">
        <v>1</v>
      </c>
      <c r="U6">
        <v>0</v>
      </c>
      <c r="V6">
        <v>0</v>
      </c>
      <c r="W6">
        <v>0</v>
      </c>
      <c r="X6">
        <v>0</v>
      </c>
      <c r="Y6" s="2">
        <v>-9292.7099999999991</v>
      </c>
      <c r="Z6" s="2">
        <v>9293.7099999999991</v>
      </c>
      <c r="AA6">
        <v>0</v>
      </c>
    </row>
    <row r="7" spans="1:27" x14ac:dyDescent="0.35">
      <c r="A7">
        <v>3291</v>
      </c>
      <c r="B7">
        <v>0</v>
      </c>
      <c r="C7" s="1">
        <v>41943</v>
      </c>
      <c r="D7">
        <v>1</v>
      </c>
      <c r="E7" t="s">
        <v>334</v>
      </c>
      <c r="F7" t="s">
        <v>436</v>
      </c>
      <c r="G7" s="1">
        <v>41913</v>
      </c>
      <c r="H7" s="2">
        <v>94815</v>
      </c>
      <c r="I7" s="2">
        <f t="shared" si="0"/>
        <v>-94814</v>
      </c>
      <c r="J7">
        <v>1</v>
      </c>
      <c r="K7" t="s">
        <v>23</v>
      </c>
      <c r="L7">
        <v>10700040</v>
      </c>
      <c r="M7" t="s">
        <v>65</v>
      </c>
      <c r="N7">
        <v>21601</v>
      </c>
      <c r="O7" t="s">
        <v>428</v>
      </c>
      <c r="P7" t="s">
        <v>521</v>
      </c>
      <c r="Q7" t="s">
        <v>311</v>
      </c>
      <c r="R7">
        <v>164500</v>
      </c>
      <c r="S7" t="s">
        <v>63</v>
      </c>
      <c r="T7">
        <v>1</v>
      </c>
      <c r="U7">
        <v>0</v>
      </c>
      <c r="V7">
        <v>0</v>
      </c>
      <c r="W7">
        <v>0</v>
      </c>
      <c r="X7">
        <v>0</v>
      </c>
      <c r="Y7" s="2">
        <v>-9292.7199999999993</v>
      </c>
      <c r="Z7" s="2">
        <v>9293.7199999999993</v>
      </c>
      <c r="AA7">
        <v>0</v>
      </c>
    </row>
    <row r="8" spans="1:27" x14ac:dyDescent="0.35">
      <c r="A8">
        <v>3495</v>
      </c>
      <c r="B8">
        <v>0</v>
      </c>
      <c r="C8" s="1">
        <v>42064</v>
      </c>
      <c r="D8">
        <v>1</v>
      </c>
      <c r="E8" t="s">
        <v>334</v>
      </c>
      <c r="F8" t="s">
        <v>444</v>
      </c>
      <c r="G8" s="1">
        <v>42064</v>
      </c>
      <c r="H8" s="2">
        <v>523770</v>
      </c>
      <c r="I8" s="2">
        <f t="shared" si="0"/>
        <v>-523769</v>
      </c>
      <c r="J8">
        <v>1</v>
      </c>
      <c r="K8" t="s">
        <v>23</v>
      </c>
      <c r="L8">
        <v>10700040</v>
      </c>
      <c r="M8" t="s">
        <v>65</v>
      </c>
      <c r="N8">
        <v>21500</v>
      </c>
      <c r="O8" t="s">
        <v>310</v>
      </c>
      <c r="P8" t="s">
        <v>521</v>
      </c>
      <c r="Q8" t="s">
        <v>311</v>
      </c>
      <c r="R8">
        <v>164500</v>
      </c>
      <c r="S8" t="s">
        <v>63</v>
      </c>
      <c r="T8">
        <v>1</v>
      </c>
      <c r="U8">
        <v>0</v>
      </c>
      <c r="V8">
        <v>0</v>
      </c>
      <c r="W8">
        <v>0</v>
      </c>
      <c r="X8">
        <v>0</v>
      </c>
      <c r="Y8" s="2">
        <v>-9292.7099999999991</v>
      </c>
      <c r="Z8" s="2">
        <v>9293.7099999999991</v>
      </c>
      <c r="AA8">
        <v>0</v>
      </c>
    </row>
    <row r="9" spans="1:27" x14ac:dyDescent="0.35">
      <c r="A9">
        <v>3449</v>
      </c>
      <c r="B9">
        <v>0</v>
      </c>
      <c r="C9" s="1">
        <v>42247</v>
      </c>
      <c r="D9">
        <v>1</v>
      </c>
      <c r="E9" t="s">
        <v>334</v>
      </c>
      <c r="F9" t="s">
        <v>460</v>
      </c>
      <c r="G9" s="1">
        <v>42248</v>
      </c>
      <c r="H9" s="2">
        <v>26330</v>
      </c>
      <c r="I9" s="2">
        <f t="shared" si="0"/>
        <v>-26329</v>
      </c>
      <c r="J9">
        <v>1</v>
      </c>
      <c r="K9" t="s">
        <v>23</v>
      </c>
      <c r="L9">
        <v>10700040</v>
      </c>
      <c r="M9" t="s">
        <v>65</v>
      </c>
      <c r="N9">
        <v>21601</v>
      </c>
      <c r="O9" t="s">
        <v>428</v>
      </c>
      <c r="P9" t="s">
        <v>521</v>
      </c>
      <c r="Q9" t="s">
        <v>311</v>
      </c>
      <c r="R9">
        <v>164500</v>
      </c>
      <c r="S9" t="s">
        <v>63</v>
      </c>
      <c r="T9">
        <v>1</v>
      </c>
      <c r="U9">
        <v>0</v>
      </c>
      <c r="V9">
        <v>0</v>
      </c>
      <c r="W9">
        <v>0</v>
      </c>
      <c r="X9">
        <v>0</v>
      </c>
      <c r="Y9" s="2">
        <v>-9292.7099999999991</v>
      </c>
      <c r="Z9" s="2">
        <v>9293.7099999999991</v>
      </c>
      <c r="AA9">
        <v>0</v>
      </c>
    </row>
    <row r="10" spans="1:27" x14ac:dyDescent="0.35">
      <c r="A10">
        <v>3450</v>
      </c>
      <c r="B10">
        <v>0</v>
      </c>
      <c r="C10" s="1">
        <v>42247</v>
      </c>
      <c r="D10">
        <v>1</v>
      </c>
      <c r="E10" t="s">
        <v>334</v>
      </c>
      <c r="F10" t="s">
        <v>460</v>
      </c>
      <c r="G10" s="1">
        <v>42248</v>
      </c>
      <c r="H10" s="2">
        <v>26330</v>
      </c>
      <c r="I10" s="2">
        <f t="shared" si="0"/>
        <v>-26329</v>
      </c>
      <c r="J10">
        <v>1</v>
      </c>
      <c r="K10" t="s">
        <v>23</v>
      </c>
      <c r="L10">
        <v>10700040</v>
      </c>
      <c r="M10" t="s">
        <v>65</v>
      </c>
      <c r="N10">
        <v>21602</v>
      </c>
      <c r="O10" t="s">
        <v>425</v>
      </c>
      <c r="P10" t="s">
        <v>521</v>
      </c>
      <c r="Q10" t="s">
        <v>311</v>
      </c>
      <c r="R10">
        <v>164500</v>
      </c>
      <c r="S10" t="s">
        <v>63</v>
      </c>
      <c r="T10">
        <v>1</v>
      </c>
      <c r="U10">
        <v>0</v>
      </c>
      <c r="V10">
        <v>0</v>
      </c>
      <c r="W10">
        <v>0</v>
      </c>
      <c r="X10">
        <v>0</v>
      </c>
      <c r="Y10" s="2">
        <v>-5082.22</v>
      </c>
      <c r="Z10" s="2">
        <v>5083.22</v>
      </c>
      <c r="AA10">
        <v>0</v>
      </c>
    </row>
    <row r="11" spans="1:27" x14ac:dyDescent="0.35">
      <c r="A11">
        <v>2396</v>
      </c>
      <c r="B11">
        <v>0</v>
      </c>
      <c r="C11" s="1">
        <v>31640</v>
      </c>
      <c r="D11">
        <v>1</v>
      </c>
      <c r="E11" t="s">
        <v>20</v>
      </c>
      <c r="F11" t="s">
        <v>76</v>
      </c>
      <c r="G11" s="1">
        <v>31640</v>
      </c>
      <c r="H11" s="2">
        <v>17762.5</v>
      </c>
      <c r="I11" s="2">
        <f t="shared" si="0"/>
        <v>-17761.5</v>
      </c>
      <c r="J11">
        <v>1</v>
      </c>
      <c r="K11" t="s">
        <v>23</v>
      </c>
      <c r="L11">
        <v>10700040</v>
      </c>
      <c r="M11" t="s">
        <v>65</v>
      </c>
      <c r="N11">
        <v>34100</v>
      </c>
      <c r="O11" t="s">
        <v>24</v>
      </c>
      <c r="P11" t="s">
        <v>524</v>
      </c>
      <c r="Q11" t="s">
        <v>25</v>
      </c>
      <c r="R11">
        <v>164500</v>
      </c>
      <c r="S11" t="s">
        <v>63</v>
      </c>
      <c r="T11">
        <v>1</v>
      </c>
      <c r="U11">
        <v>0</v>
      </c>
      <c r="V11">
        <v>0</v>
      </c>
      <c r="W11">
        <v>0</v>
      </c>
      <c r="X11">
        <v>0</v>
      </c>
      <c r="Y11" s="2">
        <v>-2949</v>
      </c>
      <c r="Z11" s="2">
        <v>2950</v>
      </c>
      <c r="AA11">
        <v>0</v>
      </c>
    </row>
    <row r="12" spans="1:27" x14ac:dyDescent="0.35">
      <c r="A12">
        <v>2393</v>
      </c>
      <c r="B12">
        <v>0</v>
      </c>
      <c r="C12" s="1">
        <v>31716</v>
      </c>
      <c r="D12">
        <v>1</v>
      </c>
      <c r="E12" t="s">
        <v>20</v>
      </c>
      <c r="F12" t="s">
        <v>80</v>
      </c>
      <c r="G12" s="1">
        <v>31716</v>
      </c>
      <c r="H12" s="2">
        <v>2448</v>
      </c>
      <c r="I12" s="2">
        <f t="shared" si="0"/>
        <v>-2447</v>
      </c>
      <c r="J12">
        <v>1</v>
      </c>
      <c r="K12" t="s">
        <v>23</v>
      </c>
      <c r="L12">
        <v>10700040</v>
      </c>
      <c r="M12" t="s">
        <v>65</v>
      </c>
      <c r="N12">
        <v>34100</v>
      </c>
      <c r="O12" t="s">
        <v>24</v>
      </c>
      <c r="P12" t="s">
        <v>524</v>
      </c>
      <c r="Q12" t="s">
        <v>25</v>
      </c>
      <c r="R12">
        <v>164500</v>
      </c>
      <c r="S12" t="s">
        <v>63</v>
      </c>
      <c r="T12">
        <v>1</v>
      </c>
      <c r="U12">
        <v>0</v>
      </c>
      <c r="V12">
        <v>0</v>
      </c>
      <c r="W12">
        <v>0</v>
      </c>
      <c r="X12">
        <v>0</v>
      </c>
      <c r="Y12" s="2">
        <v>-9627.9699999999993</v>
      </c>
      <c r="Z12" s="2">
        <v>9628.9699999999993</v>
      </c>
      <c r="AA12">
        <v>0</v>
      </c>
    </row>
    <row r="13" spans="1:27" x14ac:dyDescent="0.35">
      <c r="A13">
        <v>2392</v>
      </c>
      <c r="B13">
        <v>0</v>
      </c>
      <c r="C13" s="1">
        <v>31749</v>
      </c>
      <c r="D13">
        <v>1</v>
      </c>
      <c r="E13" t="s">
        <v>20</v>
      </c>
      <c r="F13" t="s">
        <v>81</v>
      </c>
      <c r="G13" s="1">
        <v>31749</v>
      </c>
      <c r="H13" s="2">
        <v>4358.25</v>
      </c>
      <c r="I13" s="2">
        <f t="shared" si="0"/>
        <v>-4357.25</v>
      </c>
      <c r="J13">
        <v>1</v>
      </c>
      <c r="K13" t="s">
        <v>23</v>
      </c>
      <c r="L13">
        <v>10700040</v>
      </c>
      <c r="M13" t="s">
        <v>65</v>
      </c>
      <c r="N13">
        <v>34100</v>
      </c>
      <c r="O13" t="s">
        <v>24</v>
      </c>
      <c r="P13" t="s">
        <v>524</v>
      </c>
      <c r="Q13" t="s">
        <v>25</v>
      </c>
      <c r="R13">
        <v>164500</v>
      </c>
      <c r="S13" t="s">
        <v>63</v>
      </c>
      <c r="T13">
        <v>1</v>
      </c>
      <c r="U13">
        <v>0</v>
      </c>
      <c r="V13">
        <v>0</v>
      </c>
      <c r="W13">
        <v>0</v>
      </c>
      <c r="X13">
        <v>0</v>
      </c>
      <c r="Y13" s="2">
        <v>-6767.15</v>
      </c>
      <c r="Z13" s="2">
        <v>6768.15</v>
      </c>
      <c r="AA13">
        <v>0</v>
      </c>
    </row>
    <row r="14" spans="1:27" x14ac:dyDescent="0.35">
      <c r="A14">
        <v>2389</v>
      </c>
      <c r="B14">
        <v>0</v>
      </c>
      <c r="C14" s="1">
        <v>32162</v>
      </c>
      <c r="D14">
        <v>1</v>
      </c>
      <c r="E14" t="s">
        <v>20</v>
      </c>
      <c r="F14" t="s">
        <v>92</v>
      </c>
      <c r="G14" s="1">
        <v>32162</v>
      </c>
      <c r="H14" s="2">
        <v>7325.08</v>
      </c>
      <c r="I14" s="2">
        <f t="shared" si="0"/>
        <v>-7324.08</v>
      </c>
      <c r="J14">
        <v>1</v>
      </c>
      <c r="K14" t="s">
        <v>23</v>
      </c>
      <c r="L14">
        <v>10700040</v>
      </c>
      <c r="M14" t="s">
        <v>65</v>
      </c>
      <c r="N14">
        <v>34100</v>
      </c>
      <c r="O14" t="s">
        <v>24</v>
      </c>
      <c r="P14" t="s">
        <v>524</v>
      </c>
      <c r="Q14" t="s">
        <v>25</v>
      </c>
      <c r="R14">
        <v>164500</v>
      </c>
      <c r="S14" t="s">
        <v>63</v>
      </c>
      <c r="T14">
        <v>1</v>
      </c>
      <c r="U14">
        <v>0</v>
      </c>
      <c r="V14">
        <v>0</v>
      </c>
      <c r="W14">
        <v>0</v>
      </c>
      <c r="X14">
        <v>0</v>
      </c>
      <c r="Y14" s="2">
        <v>-17761.5</v>
      </c>
      <c r="Z14" s="2">
        <v>17762.5</v>
      </c>
      <c r="AA14">
        <v>0</v>
      </c>
    </row>
    <row r="15" spans="1:27" x14ac:dyDescent="0.35">
      <c r="A15">
        <v>2385</v>
      </c>
      <c r="B15">
        <v>0</v>
      </c>
      <c r="C15" s="1">
        <v>32388</v>
      </c>
      <c r="D15">
        <v>1</v>
      </c>
      <c r="E15" t="s">
        <v>20</v>
      </c>
      <c r="F15" t="s">
        <v>100</v>
      </c>
      <c r="G15" s="1">
        <v>32388</v>
      </c>
      <c r="H15" s="2">
        <v>4007.63</v>
      </c>
      <c r="I15" s="2">
        <f t="shared" si="0"/>
        <v>-4006.63</v>
      </c>
      <c r="J15">
        <v>1</v>
      </c>
      <c r="K15" t="s">
        <v>23</v>
      </c>
      <c r="L15">
        <v>10700040</v>
      </c>
      <c r="M15" t="s">
        <v>65</v>
      </c>
      <c r="N15">
        <v>34100</v>
      </c>
      <c r="O15" t="s">
        <v>24</v>
      </c>
      <c r="P15" t="s">
        <v>524</v>
      </c>
      <c r="Q15" t="s">
        <v>25</v>
      </c>
      <c r="R15">
        <v>164500</v>
      </c>
      <c r="S15" t="s">
        <v>63</v>
      </c>
      <c r="T15">
        <v>1</v>
      </c>
      <c r="U15">
        <v>0</v>
      </c>
      <c r="V15">
        <v>0</v>
      </c>
      <c r="W15">
        <v>0</v>
      </c>
      <c r="X15">
        <v>0</v>
      </c>
      <c r="Y15" s="2">
        <v>-8217.7999999999993</v>
      </c>
      <c r="Z15" s="2">
        <v>8218.7999999999993</v>
      </c>
      <c r="AA15">
        <v>0</v>
      </c>
    </row>
    <row r="16" spans="1:27" x14ac:dyDescent="0.35">
      <c r="A16">
        <v>2386</v>
      </c>
      <c r="B16">
        <v>0</v>
      </c>
      <c r="C16" s="1">
        <v>32388</v>
      </c>
      <c r="D16">
        <v>2</v>
      </c>
      <c r="E16" t="s">
        <v>20</v>
      </c>
      <c r="F16" t="s">
        <v>101</v>
      </c>
      <c r="G16" s="1">
        <v>32388</v>
      </c>
      <c r="H16" s="2">
        <v>38000</v>
      </c>
      <c r="I16" s="2">
        <f t="shared" si="0"/>
        <v>-37999</v>
      </c>
      <c r="J16">
        <v>1</v>
      </c>
      <c r="K16" t="s">
        <v>23</v>
      </c>
      <c r="L16">
        <v>10700040</v>
      </c>
      <c r="M16" t="s">
        <v>65</v>
      </c>
      <c r="N16">
        <v>34100</v>
      </c>
      <c r="O16" t="s">
        <v>24</v>
      </c>
      <c r="P16" t="s">
        <v>524</v>
      </c>
      <c r="Q16" t="s">
        <v>25</v>
      </c>
      <c r="R16">
        <v>164500</v>
      </c>
      <c r="S16" t="s">
        <v>63</v>
      </c>
      <c r="T16">
        <v>1</v>
      </c>
      <c r="U16">
        <v>0</v>
      </c>
      <c r="V16">
        <v>0</v>
      </c>
      <c r="W16">
        <v>0</v>
      </c>
      <c r="X16">
        <v>0</v>
      </c>
      <c r="Y16" s="2">
        <v>-107937.45</v>
      </c>
      <c r="Z16" s="2">
        <v>107938.45</v>
      </c>
      <c r="AA16">
        <v>0</v>
      </c>
    </row>
    <row r="17" spans="1:27" x14ac:dyDescent="0.35">
      <c r="A17">
        <v>2387</v>
      </c>
      <c r="B17">
        <v>0</v>
      </c>
      <c r="C17" s="1">
        <v>32388</v>
      </c>
      <c r="D17">
        <v>1</v>
      </c>
      <c r="E17" t="s">
        <v>20</v>
      </c>
      <c r="F17" t="s">
        <v>102</v>
      </c>
      <c r="G17" s="1">
        <v>32388</v>
      </c>
      <c r="H17" s="2">
        <v>237286.36</v>
      </c>
      <c r="I17" s="2">
        <f t="shared" si="0"/>
        <v>-237285.36</v>
      </c>
      <c r="J17">
        <v>1</v>
      </c>
      <c r="K17" t="s">
        <v>23</v>
      </c>
      <c r="L17">
        <v>10700040</v>
      </c>
      <c r="M17" t="s">
        <v>65</v>
      </c>
      <c r="N17">
        <v>34100</v>
      </c>
      <c r="O17" t="s">
        <v>24</v>
      </c>
      <c r="P17" t="s">
        <v>524</v>
      </c>
      <c r="Q17" t="s">
        <v>25</v>
      </c>
      <c r="R17">
        <v>164500</v>
      </c>
      <c r="S17" t="s">
        <v>63</v>
      </c>
      <c r="T17">
        <v>1</v>
      </c>
      <c r="U17">
        <v>0</v>
      </c>
      <c r="V17">
        <v>0</v>
      </c>
      <c r="W17">
        <v>0</v>
      </c>
      <c r="X17">
        <v>0</v>
      </c>
      <c r="Y17" s="2">
        <v>-8808.0400000000009</v>
      </c>
      <c r="Z17" s="2">
        <v>8809.0400000000009</v>
      </c>
      <c r="AA17">
        <v>0</v>
      </c>
    </row>
    <row r="18" spans="1:27" x14ac:dyDescent="0.35">
      <c r="A18">
        <v>2388</v>
      </c>
      <c r="B18">
        <v>0</v>
      </c>
      <c r="C18" s="1">
        <v>32388</v>
      </c>
      <c r="D18">
        <v>2</v>
      </c>
      <c r="E18" t="s">
        <v>20</v>
      </c>
      <c r="F18" t="s">
        <v>103</v>
      </c>
      <c r="G18" s="1">
        <v>32388</v>
      </c>
      <c r="H18" s="2">
        <v>154318</v>
      </c>
      <c r="I18" s="2">
        <f t="shared" si="0"/>
        <v>-154317</v>
      </c>
      <c r="J18">
        <v>1</v>
      </c>
      <c r="K18" t="s">
        <v>23</v>
      </c>
      <c r="L18">
        <v>10700040</v>
      </c>
      <c r="M18" t="s">
        <v>65</v>
      </c>
      <c r="N18">
        <v>34100</v>
      </c>
      <c r="O18" t="s">
        <v>24</v>
      </c>
      <c r="P18" t="s">
        <v>524</v>
      </c>
      <c r="Q18" t="s">
        <v>25</v>
      </c>
      <c r="R18">
        <v>164500</v>
      </c>
      <c r="S18" t="s">
        <v>63</v>
      </c>
      <c r="T18">
        <v>1</v>
      </c>
      <c r="U18">
        <v>0</v>
      </c>
      <c r="V18">
        <v>0</v>
      </c>
      <c r="W18">
        <v>0</v>
      </c>
      <c r="X18">
        <v>0</v>
      </c>
      <c r="Y18" s="2">
        <v>-2447</v>
      </c>
      <c r="Z18" s="2">
        <v>2448</v>
      </c>
      <c r="AA18">
        <v>0</v>
      </c>
    </row>
    <row r="19" spans="1:27" x14ac:dyDescent="0.35">
      <c r="A19">
        <v>2382</v>
      </c>
      <c r="B19">
        <v>0</v>
      </c>
      <c r="C19" s="1">
        <v>32473</v>
      </c>
      <c r="D19">
        <v>2</v>
      </c>
      <c r="E19" t="s">
        <v>20</v>
      </c>
      <c r="F19" t="s">
        <v>109</v>
      </c>
      <c r="G19" s="1">
        <v>32473</v>
      </c>
      <c r="H19" s="2">
        <v>6545</v>
      </c>
      <c r="I19" s="2">
        <f t="shared" si="0"/>
        <v>-6544</v>
      </c>
      <c r="J19">
        <v>1</v>
      </c>
      <c r="K19" t="s">
        <v>23</v>
      </c>
      <c r="L19">
        <v>10700040</v>
      </c>
      <c r="M19" t="s">
        <v>65</v>
      </c>
      <c r="N19">
        <v>34100</v>
      </c>
      <c r="O19" t="s">
        <v>24</v>
      </c>
      <c r="P19" t="s">
        <v>524</v>
      </c>
      <c r="Q19" t="s">
        <v>25</v>
      </c>
      <c r="R19">
        <v>164500</v>
      </c>
      <c r="S19" t="s">
        <v>63</v>
      </c>
      <c r="T19">
        <v>1</v>
      </c>
      <c r="U19">
        <v>0</v>
      </c>
      <c r="V19">
        <v>0</v>
      </c>
      <c r="W19">
        <v>0</v>
      </c>
      <c r="X19">
        <v>0</v>
      </c>
      <c r="Y19" s="2">
        <v>-4357.25</v>
      </c>
      <c r="Z19" s="2">
        <v>4358.25</v>
      </c>
      <c r="AA19">
        <v>0</v>
      </c>
    </row>
    <row r="20" spans="1:27" x14ac:dyDescent="0.35">
      <c r="A20">
        <v>2383</v>
      </c>
      <c r="B20">
        <v>0</v>
      </c>
      <c r="C20" s="1">
        <v>32473</v>
      </c>
      <c r="D20">
        <v>4</v>
      </c>
      <c r="E20" t="s">
        <v>20</v>
      </c>
      <c r="F20" t="s">
        <v>110</v>
      </c>
      <c r="G20" s="1">
        <v>32473</v>
      </c>
      <c r="H20" s="2">
        <v>12800</v>
      </c>
      <c r="I20" s="2">
        <f t="shared" si="0"/>
        <v>-12799</v>
      </c>
      <c r="J20">
        <v>1</v>
      </c>
      <c r="K20" t="s">
        <v>23</v>
      </c>
      <c r="L20">
        <v>10700040</v>
      </c>
      <c r="M20" t="s">
        <v>65</v>
      </c>
      <c r="N20">
        <v>34100</v>
      </c>
      <c r="O20" t="s">
        <v>24</v>
      </c>
      <c r="P20" t="s">
        <v>524</v>
      </c>
      <c r="Q20" t="s">
        <v>25</v>
      </c>
      <c r="R20">
        <v>164500</v>
      </c>
      <c r="S20" t="s">
        <v>63</v>
      </c>
      <c r="T20">
        <v>1</v>
      </c>
      <c r="U20">
        <v>0</v>
      </c>
      <c r="V20">
        <v>0</v>
      </c>
      <c r="W20">
        <v>0</v>
      </c>
      <c r="X20">
        <v>0</v>
      </c>
      <c r="Y20" s="2">
        <v>-17457</v>
      </c>
      <c r="Z20" s="2">
        <v>17458</v>
      </c>
      <c r="AA20">
        <v>0</v>
      </c>
    </row>
    <row r="21" spans="1:27" x14ac:dyDescent="0.35">
      <c r="A21">
        <v>2379</v>
      </c>
      <c r="B21">
        <v>0</v>
      </c>
      <c r="C21" s="1">
        <v>32508</v>
      </c>
      <c r="D21">
        <v>1</v>
      </c>
      <c r="E21" t="s">
        <v>20</v>
      </c>
      <c r="F21" t="s">
        <v>112</v>
      </c>
      <c r="G21" s="1">
        <v>32508</v>
      </c>
      <c r="H21" s="2">
        <v>98181.82</v>
      </c>
      <c r="I21" s="2">
        <f t="shared" si="0"/>
        <v>-98180.82</v>
      </c>
      <c r="J21">
        <v>1</v>
      </c>
      <c r="K21" t="s">
        <v>23</v>
      </c>
      <c r="L21">
        <v>10700040</v>
      </c>
      <c r="M21" t="s">
        <v>65</v>
      </c>
      <c r="N21">
        <v>34100</v>
      </c>
      <c r="O21" t="s">
        <v>24</v>
      </c>
      <c r="P21" t="s">
        <v>524</v>
      </c>
      <c r="Q21" t="s">
        <v>25</v>
      </c>
      <c r="R21">
        <v>164500</v>
      </c>
      <c r="S21" t="s">
        <v>63</v>
      </c>
      <c r="T21">
        <v>1</v>
      </c>
      <c r="U21">
        <v>0</v>
      </c>
      <c r="V21">
        <v>0</v>
      </c>
      <c r="W21">
        <v>0</v>
      </c>
      <c r="X21">
        <v>0</v>
      </c>
      <c r="Y21" s="2">
        <v>-71441</v>
      </c>
      <c r="Z21" s="2">
        <v>71442</v>
      </c>
      <c r="AA21">
        <v>0</v>
      </c>
    </row>
    <row r="22" spans="1:27" x14ac:dyDescent="0.35">
      <c r="A22">
        <v>2380</v>
      </c>
      <c r="B22">
        <v>0</v>
      </c>
      <c r="C22" s="1">
        <v>32508</v>
      </c>
      <c r="D22">
        <v>1</v>
      </c>
      <c r="E22" t="s">
        <v>20</v>
      </c>
      <c r="F22" t="s">
        <v>113</v>
      </c>
      <c r="G22" s="1">
        <v>32508</v>
      </c>
      <c r="H22" s="2">
        <v>20000.82</v>
      </c>
      <c r="I22" s="2">
        <f t="shared" si="0"/>
        <v>-19999.82</v>
      </c>
      <c r="J22">
        <v>1</v>
      </c>
      <c r="K22" t="s">
        <v>23</v>
      </c>
      <c r="L22">
        <v>10700040</v>
      </c>
      <c r="M22" t="s">
        <v>65</v>
      </c>
      <c r="N22">
        <v>34100</v>
      </c>
      <c r="O22" t="s">
        <v>24</v>
      </c>
      <c r="P22" t="s">
        <v>524</v>
      </c>
      <c r="Q22" t="s">
        <v>25</v>
      </c>
      <c r="R22">
        <v>164500</v>
      </c>
      <c r="S22" t="s">
        <v>63</v>
      </c>
      <c r="T22">
        <v>1</v>
      </c>
      <c r="U22">
        <v>0</v>
      </c>
      <c r="V22">
        <v>0</v>
      </c>
      <c r="W22">
        <v>0</v>
      </c>
      <c r="X22">
        <v>0</v>
      </c>
      <c r="Y22" s="2">
        <v>-37466.36</v>
      </c>
      <c r="Z22" s="2">
        <v>37467.360000000001</v>
      </c>
      <c r="AA22">
        <v>0</v>
      </c>
    </row>
    <row r="23" spans="1:27" x14ac:dyDescent="0.35">
      <c r="A23">
        <v>2377</v>
      </c>
      <c r="B23">
        <v>0</v>
      </c>
      <c r="C23" s="1">
        <v>32720</v>
      </c>
      <c r="D23">
        <v>1</v>
      </c>
      <c r="E23" t="s">
        <v>20</v>
      </c>
      <c r="F23" t="s">
        <v>125</v>
      </c>
      <c r="G23" s="1">
        <v>32720</v>
      </c>
      <c r="H23" s="2">
        <v>2978.18</v>
      </c>
      <c r="I23" s="2">
        <f t="shared" si="0"/>
        <v>-2977.18</v>
      </c>
      <c r="J23">
        <v>1</v>
      </c>
      <c r="K23" t="s">
        <v>23</v>
      </c>
      <c r="L23">
        <v>10700040</v>
      </c>
      <c r="M23" t="s">
        <v>65</v>
      </c>
      <c r="N23">
        <v>34100</v>
      </c>
      <c r="O23" t="s">
        <v>24</v>
      </c>
      <c r="P23" t="s">
        <v>524</v>
      </c>
      <c r="Q23" t="s">
        <v>25</v>
      </c>
      <c r="R23">
        <v>164500</v>
      </c>
      <c r="S23" t="s">
        <v>63</v>
      </c>
      <c r="T23">
        <v>1</v>
      </c>
      <c r="U23">
        <v>0</v>
      </c>
      <c r="V23">
        <v>0</v>
      </c>
      <c r="W23">
        <v>0</v>
      </c>
      <c r="X23">
        <v>0</v>
      </c>
      <c r="Y23" s="2">
        <v>-2699</v>
      </c>
      <c r="Z23" s="2">
        <v>2700</v>
      </c>
      <c r="AA23">
        <v>0</v>
      </c>
    </row>
    <row r="24" spans="1:27" x14ac:dyDescent="0.35">
      <c r="A24">
        <v>2376</v>
      </c>
      <c r="B24">
        <v>0</v>
      </c>
      <c r="C24" s="1">
        <v>33376</v>
      </c>
      <c r="D24">
        <v>2</v>
      </c>
      <c r="E24" t="s">
        <v>20</v>
      </c>
      <c r="F24" t="s">
        <v>157</v>
      </c>
      <c r="G24" s="1">
        <v>33376</v>
      </c>
      <c r="H24" s="2">
        <v>19636.36</v>
      </c>
      <c r="I24" s="2">
        <f t="shared" si="0"/>
        <v>-19635.36</v>
      </c>
      <c r="J24">
        <v>1</v>
      </c>
      <c r="K24" t="s">
        <v>23</v>
      </c>
      <c r="L24">
        <v>10700040</v>
      </c>
      <c r="M24" t="s">
        <v>65</v>
      </c>
      <c r="N24">
        <v>34100</v>
      </c>
      <c r="O24" t="s">
        <v>24</v>
      </c>
      <c r="P24" t="s">
        <v>524</v>
      </c>
      <c r="Q24" t="s">
        <v>25</v>
      </c>
      <c r="R24">
        <v>164500</v>
      </c>
      <c r="S24" t="s">
        <v>63</v>
      </c>
      <c r="T24">
        <v>1</v>
      </c>
      <c r="U24">
        <v>0</v>
      </c>
      <c r="V24">
        <v>0</v>
      </c>
      <c r="W24">
        <v>0</v>
      </c>
      <c r="X24">
        <v>0</v>
      </c>
      <c r="Y24" s="2">
        <v>-2349</v>
      </c>
      <c r="Z24" s="2">
        <v>2350</v>
      </c>
      <c r="AA24">
        <v>0</v>
      </c>
    </row>
    <row r="25" spans="1:27" x14ac:dyDescent="0.35">
      <c r="A25">
        <v>2372</v>
      </c>
      <c r="B25">
        <v>0</v>
      </c>
      <c r="C25" s="1">
        <v>33855</v>
      </c>
      <c r="D25">
        <v>1</v>
      </c>
      <c r="E25" t="s">
        <v>20</v>
      </c>
      <c r="F25" t="s">
        <v>176</v>
      </c>
      <c r="G25" s="1">
        <v>33855</v>
      </c>
      <c r="H25" s="2">
        <v>87762.49</v>
      </c>
      <c r="I25" s="2">
        <f t="shared" si="0"/>
        <v>-87761.49</v>
      </c>
      <c r="J25">
        <v>1</v>
      </c>
      <c r="K25" t="s">
        <v>23</v>
      </c>
      <c r="L25">
        <v>10700040</v>
      </c>
      <c r="M25" t="s">
        <v>65</v>
      </c>
      <c r="N25">
        <v>34100</v>
      </c>
      <c r="O25" t="s">
        <v>24</v>
      </c>
      <c r="P25" t="s">
        <v>524</v>
      </c>
      <c r="Q25" t="s">
        <v>25</v>
      </c>
      <c r="R25">
        <v>164500</v>
      </c>
      <c r="S25" t="s">
        <v>63</v>
      </c>
      <c r="T25">
        <v>1</v>
      </c>
      <c r="U25">
        <v>0</v>
      </c>
      <c r="V25">
        <v>0</v>
      </c>
      <c r="W25">
        <v>0</v>
      </c>
      <c r="X25">
        <v>0</v>
      </c>
      <c r="Y25" s="2">
        <v>-9143.3799999999992</v>
      </c>
      <c r="Z25" s="2">
        <v>9144.3799999999992</v>
      </c>
      <c r="AA25">
        <v>0</v>
      </c>
    </row>
    <row r="26" spans="1:27" x14ac:dyDescent="0.35">
      <c r="A26">
        <v>2370</v>
      </c>
      <c r="B26">
        <v>0</v>
      </c>
      <c r="C26" s="1">
        <v>34004</v>
      </c>
      <c r="D26">
        <v>1</v>
      </c>
      <c r="E26" t="s">
        <v>20</v>
      </c>
      <c r="F26" t="s">
        <v>184</v>
      </c>
      <c r="G26" s="1">
        <v>34004</v>
      </c>
      <c r="H26" s="2">
        <v>90962.4</v>
      </c>
      <c r="I26" s="2">
        <f t="shared" si="0"/>
        <v>-90961.4</v>
      </c>
      <c r="J26">
        <v>1</v>
      </c>
      <c r="K26" t="s">
        <v>23</v>
      </c>
      <c r="L26">
        <v>10700040</v>
      </c>
      <c r="M26" t="s">
        <v>65</v>
      </c>
      <c r="N26">
        <v>34100</v>
      </c>
      <c r="O26" t="s">
        <v>24</v>
      </c>
      <c r="P26" t="s">
        <v>524</v>
      </c>
      <c r="Q26" t="s">
        <v>25</v>
      </c>
      <c r="R26">
        <v>164500</v>
      </c>
      <c r="S26" t="s">
        <v>63</v>
      </c>
      <c r="T26">
        <v>1</v>
      </c>
      <c r="U26">
        <v>0</v>
      </c>
      <c r="V26">
        <v>0</v>
      </c>
      <c r="W26">
        <v>0</v>
      </c>
      <c r="X26">
        <v>0</v>
      </c>
      <c r="Y26" s="2">
        <v>-25174</v>
      </c>
      <c r="Z26" s="2">
        <v>25175</v>
      </c>
      <c r="AA26">
        <v>0</v>
      </c>
    </row>
    <row r="27" spans="1:27" x14ac:dyDescent="0.35">
      <c r="A27">
        <v>2371</v>
      </c>
      <c r="B27">
        <v>0</v>
      </c>
      <c r="C27" s="1">
        <v>34004</v>
      </c>
      <c r="D27">
        <v>1</v>
      </c>
      <c r="E27" t="s">
        <v>20</v>
      </c>
      <c r="F27" t="s">
        <v>185</v>
      </c>
      <c r="G27" s="1">
        <v>34004</v>
      </c>
      <c r="H27" s="2">
        <v>20080</v>
      </c>
      <c r="I27" s="2">
        <f t="shared" si="0"/>
        <v>-20079</v>
      </c>
      <c r="J27">
        <v>1</v>
      </c>
      <c r="K27" t="s">
        <v>23</v>
      </c>
      <c r="L27">
        <v>10700040</v>
      </c>
      <c r="M27" t="s">
        <v>65</v>
      </c>
      <c r="N27">
        <v>34100</v>
      </c>
      <c r="O27" t="s">
        <v>24</v>
      </c>
      <c r="P27" t="s">
        <v>524</v>
      </c>
      <c r="Q27" t="s">
        <v>25</v>
      </c>
      <c r="R27">
        <v>164500</v>
      </c>
      <c r="S27" t="s">
        <v>63</v>
      </c>
      <c r="T27">
        <v>1</v>
      </c>
      <c r="U27">
        <v>0</v>
      </c>
      <c r="V27">
        <v>0</v>
      </c>
      <c r="W27">
        <v>0</v>
      </c>
      <c r="X27">
        <v>0</v>
      </c>
      <c r="Y27" s="2">
        <v>-7324.08</v>
      </c>
      <c r="Z27" s="2">
        <v>7325.08</v>
      </c>
      <c r="AA27">
        <v>0</v>
      </c>
    </row>
    <row r="28" spans="1:27" x14ac:dyDescent="0.35">
      <c r="A28">
        <v>2369</v>
      </c>
      <c r="B28">
        <v>0</v>
      </c>
      <c r="C28" s="1">
        <v>34337</v>
      </c>
      <c r="D28">
        <v>1</v>
      </c>
      <c r="E28" t="s">
        <v>20</v>
      </c>
      <c r="F28" t="s">
        <v>187</v>
      </c>
      <c r="G28" s="1">
        <v>34337</v>
      </c>
      <c r="H28" s="2">
        <v>113636.36</v>
      </c>
      <c r="I28" s="2">
        <f t="shared" si="0"/>
        <v>-113635.36</v>
      </c>
      <c r="J28">
        <v>1</v>
      </c>
      <c r="K28" t="s">
        <v>23</v>
      </c>
      <c r="L28">
        <v>10700040</v>
      </c>
      <c r="M28" t="s">
        <v>65</v>
      </c>
      <c r="N28">
        <v>34100</v>
      </c>
      <c r="O28" t="s">
        <v>24</v>
      </c>
      <c r="P28" t="s">
        <v>524</v>
      </c>
      <c r="Q28" t="s">
        <v>25</v>
      </c>
      <c r="R28">
        <v>164500</v>
      </c>
      <c r="S28" t="s">
        <v>63</v>
      </c>
      <c r="T28">
        <v>1</v>
      </c>
      <c r="U28">
        <v>0</v>
      </c>
      <c r="V28">
        <v>0</v>
      </c>
      <c r="W28">
        <v>0</v>
      </c>
      <c r="X28">
        <v>0</v>
      </c>
      <c r="Y28" s="2">
        <v>-8639</v>
      </c>
      <c r="Z28" s="2">
        <v>8640</v>
      </c>
      <c r="AA28">
        <v>0</v>
      </c>
    </row>
    <row r="29" spans="1:27" x14ac:dyDescent="0.35">
      <c r="A29">
        <v>2367</v>
      </c>
      <c r="B29">
        <v>0</v>
      </c>
      <c r="C29" s="1">
        <v>34869</v>
      </c>
      <c r="D29">
        <v>1</v>
      </c>
      <c r="E29" t="s">
        <v>20</v>
      </c>
      <c r="F29" t="s">
        <v>215</v>
      </c>
      <c r="G29" s="1">
        <v>34869</v>
      </c>
      <c r="H29" s="2">
        <v>12607.27</v>
      </c>
      <c r="I29" s="2">
        <f t="shared" si="0"/>
        <v>-12606.27</v>
      </c>
      <c r="J29">
        <v>1</v>
      </c>
      <c r="K29" t="s">
        <v>23</v>
      </c>
      <c r="L29">
        <v>10700040</v>
      </c>
      <c r="M29" t="s">
        <v>65</v>
      </c>
      <c r="N29">
        <v>34100</v>
      </c>
      <c r="O29" t="s">
        <v>24</v>
      </c>
      <c r="P29" t="s">
        <v>524</v>
      </c>
      <c r="Q29" t="s">
        <v>25</v>
      </c>
      <c r="R29">
        <v>164500</v>
      </c>
      <c r="S29" t="s">
        <v>63</v>
      </c>
      <c r="T29">
        <v>1</v>
      </c>
      <c r="U29">
        <v>0</v>
      </c>
      <c r="V29">
        <v>0</v>
      </c>
      <c r="W29">
        <v>0</v>
      </c>
      <c r="X29">
        <v>0</v>
      </c>
      <c r="Y29" s="2">
        <v>-195950.73</v>
      </c>
      <c r="Z29" s="2">
        <v>195951.73</v>
      </c>
      <c r="AA29">
        <v>0</v>
      </c>
    </row>
    <row r="30" spans="1:27" x14ac:dyDescent="0.35">
      <c r="A30">
        <v>2365</v>
      </c>
      <c r="B30">
        <v>0</v>
      </c>
      <c r="C30" s="1">
        <v>35079</v>
      </c>
      <c r="D30">
        <v>1</v>
      </c>
      <c r="E30" t="s">
        <v>20</v>
      </c>
      <c r="F30" t="s">
        <v>228</v>
      </c>
      <c r="G30" s="1">
        <v>35079</v>
      </c>
      <c r="H30" s="2">
        <v>166363.64000000001</v>
      </c>
      <c r="I30" s="2">
        <f t="shared" si="0"/>
        <v>-166362.64000000001</v>
      </c>
      <c r="J30">
        <v>1</v>
      </c>
      <c r="K30" t="s">
        <v>23</v>
      </c>
      <c r="L30">
        <v>10700040</v>
      </c>
      <c r="M30" t="s">
        <v>65</v>
      </c>
      <c r="N30">
        <v>34100</v>
      </c>
      <c r="O30" t="s">
        <v>24</v>
      </c>
      <c r="P30" t="s">
        <v>524</v>
      </c>
      <c r="Q30" t="s">
        <v>25</v>
      </c>
      <c r="R30">
        <v>164500</v>
      </c>
      <c r="S30" t="s">
        <v>63</v>
      </c>
      <c r="T30">
        <v>1</v>
      </c>
      <c r="U30">
        <v>0</v>
      </c>
      <c r="V30">
        <v>0</v>
      </c>
      <c r="W30">
        <v>0</v>
      </c>
      <c r="X30">
        <v>0</v>
      </c>
      <c r="Y30" s="2">
        <v>-14589.8</v>
      </c>
      <c r="Z30" s="2">
        <v>14590.8</v>
      </c>
      <c r="AA30">
        <v>0</v>
      </c>
    </row>
    <row r="31" spans="1:27" x14ac:dyDescent="0.35">
      <c r="A31">
        <v>2363</v>
      </c>
      <c r="B31">
        <v>0</v>
      </c>
      <c r="C31" s="1">
        <v>35328</v>
      </c>
      <c r="D31">
        <v>1</v>
      </c>
      <c r="E31" t="s">
        <v>20</v>
      </c>
      <c r="F31" t="s">
        <v>243</v>
      </c>
      <c r="G31" s="1">
        <v>35328</v>
      </c>
      <c r="H31" s="2">
        <v>21405.45</v>
      </c>
      <c r="I31" s="2">
        <f t="shared" si="0"/>
        <v>-21404.45</v>
      </c>
      <c r="J31">
        <v>1</v>
      </c>
      <c r="K31" t="s">
        <v>23</v>
      </c>
      <c r="L31">
        <v>10700040</v>
      </c>
      <c r="M31" t="s">
        <v>65</v>
      </c>
      <c r="N31">
        <v>34100</v>
      </c>
      <c r="O31" t="s">
        <v>24</v>
      </c>
      <c r="P31" t="s">
        <v>524</v>
      </c>
      <c r="Q31" t="s">
        <v>25</v>
      </c>
      <c r="R31">
        <v>164500</v>
      </c>
      <c r="S31" t="s">
        <v>63</v>
      </c>
      <c r="T31">
        <v>1</v>
      </c>
      <c r="U31">
        <v>0</v>
      </c>
      <c r="V31">
        <v>0</v>
      </c>
      <c r="W31">
        <v>0</v>
      </c>
      <c r="X31">
        <v>0</v>
      </c>
      <c r="Y31" s="2">
        <v>-5021.7299999999996</v>
      </c>
      <c r="Z31" s="2">
        <v>5022.7299999999996</v>
      </c>
      <c r="AA31">
        <v>0</v>
      </c>
    </row>
    <row r="32" spans="1:27" x14ac:dyDescent="0.35">
      <c r="A32">
        <v>2270</v>
      </c>
      <c r="B32">
        <v>0</v>
      </c>
      <c r="C32" s="1">
        <v>36677</v>
      </c>
      <c r="F32" t="s">
        <v>319</v>
      </c>
      <c r="G32" s="1">
        <v>36678</v>
      </c>
      <c r="H32" s="2">
        <v>22197.56</v>
      </c>
      <c r="I32" s="2">
        <f t="shared" si="0"/>
        <v>-22197.56</v>
      </c>
      <c r="J32">
        <v>0</v>
      </c>
      <c r="K32" t="s">
        <v>23</v>
      </c>
      <c r="L32">
        <v>10700040</v>
      </c>
      <c r="M32" t="s">
        <v>65</v>
      </c>
      <c r="N32">
        <v>34100</v>
      </c>
      <c r="O32" t="s">
        <v>24</v>
      </c>
      <c r="P32" t="s">
        <v>524</v>
      </c>
      <c r="Q32" t="s">
        <v>25</v>
      </c>
      <c r="R32">
        <v>164500</v>
      </c>
      <c r="S32" t="s">
        <v>63</v>
      </c>
      <c r="T32">
        <v>1</v>
      </c>
      <c r="U32">
        <v>0</v>
      </c>
      <c r="V32">
        <v>0</v>
      </c>
      <c r="W32">
        <v>0</v>
      </c>
      <c r="X32">
        <v>0</v>
      </c>
      <c r="Y32" s="2">
        <v>-206827.09</v>
      </c>
      <c r="Z32" s="2">
        <v>206828.09</v>
      </c>
      <c r="AA32">
        <v>0</v>
      </c>
    </row>
    <row r="33" spans="1:27" x14ac:dyDescent="0.35">
      <c r="A33">
        <v>2359</v>
      </c>
      <c r="B33">
        <v>0</v>
      </c>
      <c r="C33" s="1">
        <v>36677</v>
      </c>
      <c r="F33" t="s">
        <v>319</v>
      </c>
      <c r="G33" s="1">
        <v>36677</v>
      </c>
      <c r="H33" s="2">
        <v>22197.56</v>
      </c>
      <c r="I33" s="2">
        <f t="shared" si="0"/>
        <v>-22197.56</v>
      </c>
      <c r="J33">
        <v>0</v>
      </c>
      <c r="K33" t="s">
        <v>23</v>
      </c>
      <c r="L33">
        <v>10700040</v>
      </c>
      <c r="M33" t="s">
        <v>65</v>
      </c>
      <c r="N33">
        <v>34100</v>
      </c>
      <c r="O33" t="s">
        <v>24</v>
      </c>
      <c r="P33" t="s">
        <v>524</v>
      </c>
      <c r="Q33" t="s">
        <v>25</v>
      </c>
      <c r="R33">
        <v>164500</v>
      </c>
      <c r="S33" t="s">
        <v>63</v>
      </c>
      <c r="T33">
        <v>1</v>
      </c>
      <c r="U33">
        <v>0</v>
      </c>
      <c r="V33">
        <v>0</v>
      </c>
      <c r="W33">
        <v>0</v>
      </c>
      <c r="X33">
        <v>0</v>
      </c>
      <c r="Y33" s="2">
        <v>-4006.63</v>
      </c>
      <c r="Z33" s="2">
        <v>4007.63</v>
      </c>
      <c r="AA33">
        <v>0</v>
      </c>
    </row>
    <row r="34" spans="1:27" x14ac:dyDescent="0.35">
      <c r="A34">
        <v>2358</v>
      </c>
      <c r="B34">
        <v>0</v>
      </c>
      <c r="C34" s="1">
        <v>36713</v>
      </c>
      <c r="D34">
        <v>1</v>
      </c>
      <c r="E34" t="s">
        <v>20</v>
      </c>
      <c r="F34" t="s">
        <v>320</v>
      </c>
      <c r="G34" s="1">
        <v>36713</v>
      </c>
      <c r="H34" s="2">
        <v>10110.52</v>
      </c>
      <c r="I34" s="2">
        <f t="shared" si="0"/>
        <v>-10109.52</v>
      </c>
      <c r="J34">
        <v>1</v>
      </c>
      <c r="K34" t="s">
        <v>23</v>
      </c>
      <c r="L34">
        <v>10700040</v>
      </c>
      <c r="M34" t="s">
        <v>65</v>
      </c>
      <c r="N34">
        <v>34100</v>
      </c>
      <c r="O34" t="s">
        <v>24</v>
      </c>
      <c r="P34" t="s">
        <v>524</v>
      </c>
      <c r="Q34" t="s">
        <v>25</v>
      </c>
      <c r="R34">
        <v>164500</v>
      </c>
      <c r="S34" t="s">
        <v>63</v>
      </c>
      <c r="T34">
        <v>1</v>
      </c>
      <c r="U34">
        <v>0</v>
      </c>
      <c r="V34">
        <v>0</v>
      </c>
      <c r="W34">
        <v>0</v>
      </c>
      <c r="X34">
        <v>0</v>
      </c>
      <c r="Y34" s="2">
        <v>-37999</v>
      </c>
      <c r="Z34" s="2">
        <v>38000</v>
      </c>
      <c r="AA34">
        <v>0</v>
      </c>
    </row>
    <row r="35" spans="1:27" x14ac:dyDescent="0.35">
      <c r="A35">
        <v>2357</v>
      </c>
      <c r="B35">
        <v>0</v>
      </c>
      <c r="C35" s="1">
        <v>36738</v>
      </c>
      <c r="D35">
        <v>1</v>
      </c>
      <c r="E35" t="s">
        <v>20</v>
      </c>
      <c r="F35" t="s">
        <v>321</v>
      </c>
      <c r="G35" s="1">
        <v>36738</v>
      </c>
      <c r="H35" s="2">
        <v>34473.599999999999</v>
      </c>
      <c r="I35" s="2">
        <f t="shared" si="0"/>
        <v>-34472.6</v>
      </c>
      <c r="J35">
        <v>1</v>
      </c>
      <c r="K35" t="s">
        <v>23</v>
      </c>
      <c r="L35">
        <v>10700040</v>
      </c>
      <c r="M35" t="s">
        <v>65</v>
      </c>
      <c r="N35">
        <v>34100</v>
      </c>
      <c r="O35" t="s">
        <v>24</v>
      </c>
      <c r="P35" t="s">
        <v>524</v>
      </c>
      <c r="Q35" t="s">
        <v>25</v>
      </c>
      <c r="R35">
        <v>164500</v>
      </c>
      <c r="S35" t="s">
        <v>63</v>
      </c>
      <c r="T35">
        <v>1</v>
      </c>
      <c r="U35">
        <v>0</v>
      </c>
      <c r="V35">
        <v>0</v>
      </c>
      <c r="W35">
        <v>0</v>
      </c>
      <c r="X35">
        <v>0</v>
      </c>
      <c r="Y35" s="2">
        <v>-237285.36</v>
      </c>
      <c r="Z35" s="2">
        <v>237286.36</v>
      </c>
      <c r="AA35">
        <v>0</v>
      </c>
    </row>
    <row r="36" spans="1:27" x14ac:dyDescent="0.35">
      <c r="A36">
        <v>2354</v>
      </c>
      <c r="B36">
        <v>0</v>
      </c>
      <c r="C36" s="1">
        <v>36756</v>
      </c>
      <c r="D36">
        <v>1</v>
      </c>
      <c r="E36" t="s">
        <v>20</v>
      </c>
      <c r="F36" t="s">
        <v>323</v>
      </c>
      <c r="G36" s="1">
        <v>36756</v>
      </c>
      <c r="H36" s="2">
        <v>8281.64</v>
      </c>
      <c r="I36" s="2">
        <f t="shared" si="0"/>
        <v>-8280.64</v>
      </c>
      <c r="J36">
        <v>1</v>
      </c>
      <c r="K36" t="s">
        <v>23</v>
      </c>
      <c r="L36">
        <v>10700040</v>
      </c>
      <c r="M36" t="s">
        <v>65</v>
      </c>
      <c r="N36">
        <v>34100</v>
      </c>
      <c r="O36" t="s">
        <v>24</v>
      </c>
      <c r="P36" t="s">
        <v>524</v>
      </c>
      <c r="Q36" t="s">
        <v>25</v>
      </c>
      <c r="R36">
        <v>164500</v>
      </c>
      <c r="S36" t="s">
        <v>63</v>
      </c>
      <c r="T36">
        <v>1</v>
      </c>
      <c r="U36">
        <v>0</v>
      </c>
      <c r="V36">
        <v>0</v>
      </c>
      <c r="W36">
        <v>0</v>
      </c>
      <c r="X36">
        <v>0</v>
      </c>
      <c r="Y36" s="2">
        <v>-154317</v>
      </c>
      <c r="Z36" s="2">
        <v>154318</v>
      </c>
      <c r="AA36">
        <v>0</v>
      </c>
    </row>
    <row r="37" spans="1:27" x14ac:dyDescent="0.35">
      <c r="A37">
        <v>2334</v>
      </c>
      <c r="B37">
        <v>0</v>
      </c>
      <c r="C37" s="1">
        <v>38743</v>
      </c>
      <c r="D37">
        <v>1</v>
      </c>
      <c r="E37" t="s">
        <v>20</v>
      </c>
      <c r="F37" t="s">
        <v>372</v>
      </c>
      <c r="G37" s="1">
        <v>38749</v>
      </c>
      <c r="H37" s="2">
        <v>18909.09</v>
      </c>
      <c r="I37" s="2">
        <f t="shared" si="0"/>
        <v>-18908.09</v>
      </c>
      <c r="J37">
        <v>1</v>
      </c>
      <c r="K37" t="s">
        <v>23</v>
      </c>
      <c r="L37">
        <v>10700040</v>
      </c>
      <c r="M37" t="s">
        <v>65</v>
      </c>
      <c r="N37">
        <v>34100</v>
      </c>
      <c r="O37" t="s">
        <v>24</v>
      </c>
      <c r="P37" t="s">
        <v>524</v>
      </c>
      <c r="Q37" t="s">
        <v>25</v>
      </c>
      <c r="R37">
        <v>164500</v>
      </c>
      <c r="S37" t="s">
        <v>63</v>
      </c>
      <c r="T37">
        <v>1</v>
      </c>
      <c r="U37">
        <v>0</v>
      </c>
      <c r="V37">
        <v>0</v>
      </c>
      <c r="W37">
        <v>0</v>
      </c>
      <c r="X37">
        <v>0</v>
      </c>
      <c r="Y37" s="2">
        <v>-18287.759999999998</v>
      </c>
      <c r="Z37" s="2">
        <v>18288.759999999998</v>
      </c>
      <c r="AA37">
        <v>0</v>
      </c>
    </row>
    <row r="38" spans="1:27" x14ac:dyDescent="0.35">
      <c r="A38">
        <v>2344</v>
      </c>
      <c r="B38">
        <v>0</v>
      </c>
      <c r="C38" s="1">
        <v>39036</v>
      </c>
      <c r="F38" t="s">
        <v>380</v>
      </c>
      <c r="G38" s="1">
        <v>39022</v>
      </c>
      <c r="H38" s="2">
        <v>87525.04</v>
      </c>
      <c r="I38" s="2">
        <f t="shared" si="0"/>
        <v>-87524.04</v>
      </c>
      <c r="J38">
        <v>1</v>
      </c>
      <c r="K38" t="s">
        <v>23</v>
      </c>
      <c r="L38">
        <v>10700040</v>
      </c>
      <c r="M38" t="s">
        <v>65</v>
      </c>
      <c r="N38">
        <v>34100</v>
      </c>
      <c r="O38" t="s">
        <v>24</v>
      </c>
      <c r="P38" t="s">
        <v>524</v>
      </c>
      <c r="Q38" t="s">
        <v>25</v>
      </c>
      <c r="R38">
        <v>164500</v>
      </c>
      <c r="S38" t="s">
        <v>63</v>
      </c>
      <c r="T38">
        <v>1</v>
      </c>
      <c r="U38">
        <v>0</v>
      </c>
      <c r="V38">
        <v>0</v>
      </c>
      <c r="W38">
        <v>0</v>
      </c>
      <c r="X38">
        <v>0</v>
      </c>
      <c r="Y38" s="2">
        <v>-18732.68</v>
      </c>
      <c r="Z38" s="2">
        <v>18733.68</v>
      </c>
      <c r="AA38">
        <v>0</v>
      </c>
    </row>
    <row r="39" spans="1:27" x14ac:dyDescent="0.35">
      <c r="A39">
        <v>2989</v>
      </c>
      <c r="B39">
        <v>0</v>
      </c>
      <c r="C39" s="1">
        <v>41306</v>
      </c>
      <c r="D39">
        <v>1</v>
      </c>
      <c r="E39" t="s">
        <v>389</v>
      </c>
      <c r="F39" t="s">
        <v>402</v>
      </c>
      <c r="G39" s="1">
        <v>41183</v>
      </c>
      <c r="H39" s="2">
        <v>468750</v>
      </c>
      <c r="I39" s="2">
        <f t="shared" si="0"/>
        <v>-468749</v>
      </c>
      <c r="J39">
        <v>1</v>
      </c>
      <c r="K39" t="s">
        <v>23</v>
      </c>
      <c r="L39">
        <v>10700040</v>
      </c>
      <c r="M39" t="s">
        <v>65</v>
      </c>
      <c r="N39">
        <v>34100</v>
      </c>
      <c r="O39" t="s">
        <v>24</v>
      </c>
      <c r="P39" t="s">
        <v>524</v>
      </c>
      <c r="Q39" t="s">
        <v>25</v>
      </c>
      <c r="R39">
        <v>164500</v>
      </c>
      <c r="S39" t="s">
        <v>63</v>
      </c>
      <c r="T39">
        <v>1</v>
      </c>
      <c r="U39">
        <v>0</v>
      </c>
      <c r="V39">
        <v>0</v>
      </c>
      <c r="W39">
        <v>0</v>
      </c>
      <c r="X39">
        <v>0</v>
      </c>
      <c r="Y39" s="2">
        <v>-8919.7999999999993</v>
      </c>
      <c r="Z39" s="2">
        <v>8920.7999999999993</v>
      </c>
      <c r="AA39">
        <v>0</v>
      </c>
    </row>
    <row r="40" spans="1:27" x14ac:dyDescent="0.35">
      <c r="A40">
        <v>3235</v>
      </c>
      <c r="B40">
        <v>0</v>
      </c>
      <c r="C40" s="1">
        <v>41851</v>
      </c>
      <c r="D40">
        <v>1</v>
      </c>
      <c r="E40" t="s">
        <v>334</v>
      </c>
      <c r="F40" t="s">
        <v>424</v>
      </c>
      <c r="G40" s="1">
        <v>41852</v>
      </c>
      <c r="H40" s="2">
        <v>6285</v>
      </c>
      <c r="I40" s="2">
        <f t="shared" si="0"/>
        <v>-6284</v>
      </c>
      <c r="J40">
        <v>1</v>
      </c>
      <c r="K40" t="s">
        <v>23</v>
      </c>
      <c r="L40">
        <v>10700040</v>
      </c>
      <c r="M40" t="s">
        <v>65</v>
      </c>
      <c r="N40">
        <v>34100</v>
      </c>
      <c r="O40" t="s">
        <v>24</v>
      </c>
      <c r="P40" t="s">
        <v>524</v>
      </c>
      <c r="Q40" t="s">
        <v>25</v>
      </c>
      <c r="R40">
        <v>164500</v>
      </c>
      <c r="S40" t="s">
        <v>63</v>
      </c>
      <c r="T40">
        <v>1</v>
      </c>
      <c r="U40">
        <v>0</v>
      </c>
      <c r="V40">
        <v>0</v>
      </c>
      <c r="W40">
        <v>0</v>
      </c>
      <c r="X40">
        <v>0</v>
      </c>
      <c r="Y40" s="2">
        <v>-153818.1</v>
      </c>
      <c r="Z40" s="2">
        <v>153819.1</v>
      </c>
      <c r="AA40">
        <v>0</v>
      </c>
    </row>
    <row r="41" spans="1:27" x14ac:dyDescent="0.35">
      <c r="A41">
        <v>3270</v>
      </c>
      <c r="B41">
        <v>0</v>
      </c>
      <c r="C41" s="1">
        <v>41912</v>
      </c>
      <c r="D41">
        <v>1</v>
      </c>
      <c r="E41" t="s">
        <v>334</v>
      </c>
      <c r="F41" t="s">
        <v>434</v>
      </c>
      <c r="G41" s="1">
        <v>41913</v>
      </c>
      <c r="H41" s="2">
        <v>27060</v>
      </c>
      <c r="I41" s="2">
        <f t="shared" si="0"/>
        <v>-27059</v>
      </c>
      <c r="J41">
        <v>1</v>
      </c>
      <c r="K41" t="s">
        <v>23</v>
      </c>
      <c r="L41">
        <v>10700040</v>
      </c>
      <c r="M41" t="s">
        <v>65</v>
      </c>
      <c r="N41">
        <v>34100</v>
      </c>
      <c r="O41" t="s">
        <v>24</v>
      </c>
      <c r="P41" t="s">
        <v>524</v>
      </c>
      <c r="Q41" t="s">
        <v>25</v>
      </c>
      <c r="R41">
        <v>164500</v>
      </c>
      <c r="S41" t="s">
        <v>63</v>
      </c>
      <c r="T41">
        <v>1</v>
      </c>
      <c r="U41">
        <v>0</v>
      </c>
      <c r="V41">
        <v>0</v>
      </c>
      <c r="W41">
        <v>0</v>
      </c>
      <c r="X41">
        <v>0</v>
      </c>
      <c r="Y41" s="2">
        <v>-98730.15</v>
      </c>
      <c r="Z41" s="2">
        <v>98731.15</v>
      </c>
      <c r="AA41">
        <v>0</v>
      </c>
    </row>
    <row r="42" spans="1:27" x14ac:dyDescent="0.35">
      <c r="A42">
        <v>3271</v>
      </c>
      <c r="B42">
        <v>0</v>
      </c>
      <c r="C42" s="1">
        <v>41912</v>
      </c>
      <c r="D42">
        <v>1</v>
      </c>
      <c r="E42" t="s">
        <v>334</v>
      </c>
      <c r="F42" t="s">
        <v>434</v>
      </c>
      <c r="G42" s="1">
        <v>41913</v>
      </c>
      <c r="H42" s="2">
        <v>27060</v>
      </c>
      <c r="I42" s="2">
        <f t="shared" si="0"/>
        <v>-27059</v>
      </c>
      <c r="J42">
        <v>1</v>
      </c>
      <c r="K42" t="s">
        <v>23</v>
      </c>
      <c r="L42">
        <v>10700040</v>
      </c>
      <c r="M42" t="s">
        <v>65</v>
      </c>
      <c r="N42">
        <v>34100</v>
      </c>
      <c r="O42" t="s">
        <v>24</v>
      </c>
      <c r="P42" t="s">
        <v>524</v>
      </c>
      <c r="Q42" t="s">
        <v>25</v>
      </c>
      <c r="R42">
        <v>164500</v>
      </c>
      <c r="S42" t="s">
        <v>63</v>
      </c>
      <c r="T42">
        <v>1</v>
      </c>
      <c r="U42">
        <v>0</v>
      </c>
      <c r="V42">
        <v>0</v>
      </c>
      <c r="W42">
        <v>0</v>
      </c>
      <c r="X42">
        <v>0</v>
      </c>
      <c r="Y42" s="2">
        <v>-2208</v>
      </c>
      <c r="Z42" s="2">
        <v>2209</v>
      </c>
      <c r="AA42">
        <v>0</v>
      </c>
    </row>
    <row r="43" spans="1:27" x14ac:dyDescent="0.35">
      <c r="A43">
        <v>3295</v>
      </c>
      <c r="B43">
        <v>0</v>
      </c>
      <c r="C43" s="1">
        <v>41973</v>
      </c>
      <c r="D43">
        <v>1</v>
      </c>
      <c r="E43" t="s">
        <v>334</v>
      </c>
      <c r="F43" t="s">
        <v>437</v>
      </c>
      <c r="G43" s="1">
        <v>41944</v>
      </c>
      <c r="H43" s="2">
        <v>7189</v>
      </c>
      <c r="I43" s="2">
        <f t="shared" si="0"/>
        <v>-7188</v>
      </c>
      <c r="J43">
        <v>1</v>
      </c>
      <c r="K43" t="s">
        <v>23</v>
      </c>
      <c r="L43">
        <v>10700040</v>
      </c>
      <c r="M43" t="s">
        <v>65</v>
      </c>
      <c r="N43">
        <v>34100</v>
      </c>
      <c r="O43" t="s">
        <v>24</v>
      </c>
      <c r="P43" t="s">
        <v>524</v>
      </c>
      <c r="Q43" t="s">
        <v>25</v>
      </c>
      <c r="R43">
        <v>164500</v>
      </c>
      <c r="S43" t="s">
        <v>63</v>
      </c>
      <c r="T43">
        <v>1</v>
      </c>
      <c r="U43">
        <v>0</v>
      </c>
      <c r="V43">
        <v>0</v>
      </c>
      <c r="W43">
        <v>0</v>
      </c>
      <c r="X43">
        <v>0</v>
      </c>
      <c r="Y43" s="2">
        <v>-6544</v>
      </c>
      <c r="Z43" s="2">
        <v>6545</v>
      </c>
      <c r="AA43">
        <v>0</v>
      </c>
    </row>
    <row r="44" spans="1:27" x14ac:dyDescent="0.35">
      <c r="A44">
        <v>3297</v>
      </c>
      <c r="B44">
        <v>0</v>
      </c>
      <c r="C44" s="1">
        <v>41973</v>
      </c>
      <c r="D44">
        <v>1</v>
      </c>
      <c r="E44" t="s">
        <v>334</v>
      </c>
      <c r="F44" t="s">
        <v>438</v>
      </c>
      <c r="G44" s="1">
        <v>41944</v>
      </c>
      <c r="H44" s="2">
        <v>9749</v>
      </c>
      <c r="I44" s="2">
        <f t="shared" si="0"/>
        <v>-9748</v>
      </c>
      <c r="J44">
        <v>1</v>
      </c>
      <c r="K44" t="s">
        <v>23</v>
      </c>
      <c r="L44">
        <v>10700040</v>
      </c>
      <c r="M44" t="s">
        <v>65</v>
      </c>
      <c r="N44">
        <v>34100</v>
      </c>
      <c r="O44" t="s">
        <v>24</v>
      </c>
      <c r="P44" t="s">
        <v>524</v>
      </c>
      <c r="Q44" t="s">
        <v>25</v>
      </c>
      <c r="R44">
        <v>164500</v>
      </c>
      <c r="S44" t="s">
        <v>63</v>
      </c>
      <c r="T44">
        <v>1</v>
      </c>
      <c r="U44">
        <v>0</v>
      </c>
      <c r="V44">
        <v>0</v>
      </c>
      <c r="W44">
        <v>0</v>
      </c>
      <c r="X44">
        <v>0</v>
      </c>
      <c r="Y44" s="2">
        <v>-12799</v>
      </c>
      <c r="Z44" s="2">
        <v>12800</v>
      </c>
      <c r="AA44">
        <v>0</v>
      </c>
    </row>
    <row r="45" spans="1:27" x14ac:dyDescent="0.35">
      <c r="A45">
        <v>3473</v>
      </c>
      <c r="B45">
        <v>0</v>
      </c>
      <c r="C45" s="1">
        <v>42277</v>
      </c>
      <c r="D45">
        <v>1</v>
      </c>
      <c r="E45" t="s">
        <v>334</v>
      </c>
      <c r="F45" t="s">
        <v>465</v>
      </c>
      <c r="G45" s="1">
        <v>42278</v>
      </c>
      <c r="H45" s="2">
        <v>9860</v>
      </c>
      <c r="I45" s="2">
        <f t="shared" si="0"/>
        <v>-9859</v>
      </c>
      <c r="J45">
        <v>1</v>
      </c>
      <c r="K45" t="s">
        <v>23</v>
      </c>
      <c r="L45">
        <v>10700040</v>
      </c>
      <c r="M45" t="s">
        <v>65</v>
      </c>
      <c r="N45">
        <v>34100</v>
      </c>
      <c r="O45" t="s">
        <v>24</v>
      </c>
      <c r="P45" t="s">
        <v>524</v>
      </c>
      <c r="Q45" t="s">
        <v>25</v>
      </c>
      <c r="R45">
        <v>164500</v>
      </c>
      <c r="S45" t="s">
        <v>63</v>
      </c>
      <c r="T45">
        <v>1</v>
      </c>
      <c r="U45">
        <v>0</v>
      </c>
      <c r="V45">
        <v>0</v>
      </c>
      <c r="W45">
        <v>0</v>
      </c>
      <c r="X45">
        <v>0</v>
      </c>
      <c r="Y45" s="2">
        <v>-10449.469999999999</v>
      </c>
      <c r="Z45" s="2">
        <v>10450.469999999999</v>
      </c>
      <c r="AA45">
        <v>0</v>
      </c>
    </row>
    <row r="46" spans="1:27" x14ac:dyDescent="0.35">
      <c r="A46">
        <v>3480</v>
      </c>
      <c r="B46">
        <v>0</v>
      </c>
      <c r="C46" s="1">
        <v>42308</v>
      </c>
      <c r="D46">
        <v>1</v>
      </c>
      <c r="E46" t="s">
        <v>334</v>
      </c>
      <c r="F46" t="s">
        <v>466</v>
      </c>
      <c r="G46" s="1">
        <v>42278</v>
      </c>
      <c r="H46" s="2">
        <v>8500</v>
      </c>
      <c r="I46" s="2">
        <f t="shared" si="0"/>
        <v>-8499</v>
      </c>
      <c r="J46">
        <v>1</v>
      </c>
      <c r="K46" t="s">
        <v>23</v>
      </c>
      <c r="L46">
        <v>10700040</v>
      </c>
      <c r="M46" t="s">
        <v>65</v>
      </c>
      <c r="N46">
        <v>34100</v>
      </c>
      <c r="O46" t="s">
        <v>24</v>
      </c>
      <c r="P46" t="s">
        <v>524</v>
      </c>
      <c r="Q46" t="s">
        <v>25</v>
      </c>
      <c r="R46">
        <v>164500</v>
      </c>
      <c r="S46" t="s">
        <v>63</v>
      </c>
      <c r="T46">
        <v>1</v>
      </c>
      <c r="U46">
        <v>0</v>
      </c>
      <c r="V46">
        <v>0</v>
      </c>
      <c r="W46">
        <v>0</v>
      </c>
      <c r="X46">
        <v>0</v>
      </c>
      <c r="Y46" s="2">
        <v>-98180.82</v>
      </c>
      <c r="Z46" s="2">
        <v>98181.82</v>
      </c>
      <c r="AA46">
        <v>0</v>
      </c>
    </row>
    <row r="47" spans="1:27" x14ac:dyDescent="0.35">
      <c r="A47">
        <v>3672</v>
      </c>
      <c r="B47">
        <v>0</v>
      </c>
      <c r="C47" s="1">
        <v>42916</v>
      </c>
      <c r="D47">
        <v>1</v>
      </c>
      <c r="E47" t="s">
        <v>334</v>
      </c>
      <c r="F47" t="s">
        <v>476</v>
      </c>
      <c r="G47" s="1">
        <v>42887</v>
      </c>
      <c r="H47" s="2">
        <v>116865.07</v>
      </c>
      <c r="I47" s="2">
        <f t="shared" si="0"/>
        <v>-116864.07</v>
      </c>
      <c r="J47">
        <v>1</v>
      </c>
      <c r="K47" t="s">
        <v>23</v>
      </c>
      <c r="L47">
        <v>10700040</v>
      </c>
      <c r="M47" t="s">
        <v>65</v>
      </c>
      <c r="N47">
        <v>34100</v>
      </c>
      <c r="O47" t="s">
        <v>24</v>
      </c>
      <c r="P47" t="s">
        <v>524</v>
      </c>
      <c r="Q47" t="s">
        <v>25</v>
      </c>
      <c r="R47">
        <v>164500</v>
      </c>
      <c r="S47" t="s">
        <v>63</v>
      </c>
      <c r="T47">
        <v>1</v>
      </c>
      <c r="U47">
        <v>0</v>
      </c>
      <c r="V47">
        <v>0</v>
      </c>
      <c r="W47">
        <v>0</v>
      </c>
      <c r="X47">
        <v>0</v>
      </c>
      <c r="Y47" s="2">
        <v>-19999.82</v>
      </c>
      <c r="Z47" s="2">
        <v>20000.82</v>
      </c>
      <c r="AA47">
        <v>0</v>
      </c>
    </row>
    <row r="48" spans="1:27" x14ac:dyDescent="0.35">
      <c r="A48">
        <v>3764</v>
      </c>
      <c r="B48">
        <v>0</v>
      </c>
      <c r="C48" s="1">
        <v>43251</v>
      </c>
      <c r="D48">
        <v>1</v>
      </c>
      <c r="E48" t="s">
        <v>334</v>
      </c>
      <c r="F48" t="s">
        <v>479</v>
      </c>
      <c r="G48" s="1">
        <v>43221</v>
      </c>
      <c r="H48" s="2">
        <v>150000</v>
      </c>
      <c r="I48" s="2">
        <f t="shared" si="0"/>
        <v>-149999</v>
      </c>
      <c r="J48">
        <v>1</v>
      </c>
      <c r="K48" t="s">
        <v>23</v>
      </c>
      <c r="L48">
        <v>10700040</v>
      </c>
      <c r="M48" t="s">
        <v>65</v>
      </c>
      <c r="N48">
        <v>34100</v>
      </c>
      <c r="O48" t="s">
        <v>24</v>
      </c>
      <c r="P48" t="s">
        <v>524</v>
      </c>
      <c r="Q48" t="s">
        <v>25</v>
      </c>
      <c r="R48">
        <v>164500</v>
      </c>
      <c r="S48" t="s">
        <v>63</v>
      </c>
      <c r="T48">
        <v>1</v>
      </c>
      <c r="U48">
        <v>0</v>
      </c>
      <c r="V48">
        <v>0</v>
      </c>
      <c r="W48">
        <v>0</v>
      </c>
      <c r="X48">
        <v>0</v>
      </c>
      <c r="Y48" s="2">
        <v>-12913</v>
      </c>
      <c r="Z48" s="2">
        <v>12914</v>
      </c>
      <c r="AA48">
        <v>0</v>
      </c>
    </row>
    <row r="49" spans="1:27" x14ac:dyDescent="0.35">
      <c r="A49">
        <v>3949</v>
      </c>
      <c r="B49">
        <v>0</v>
      </c>
      <c r="C49" s="1">
        <v>43861</v>
      </c>
      <c r="D49">
        <v>1</v>
      </c>
      <c r="E49" t="s">
        <v>334</v>
      </c>
      <c r="F49" t="s">
        <v>488</v>
      </c>
      <c r="G49" s="1">
        <v>43831</v>
      </c>
      <c r="H49" s="2">
        <v>1800000</v>
      </c>
      <c r="I49" s="2">
        <f t="shared" si="0"/>
        <v>-1799999</v>
      </c>
      <c r="J49">
        <v>1</v>
      </c>
      <c r="K49" t="s">
        <v>23</v>
      </c>
      <c r="L49">
        <v>10700040</v>
      </c>
      <c r="M49" t="s">
        <v>65</v>
      </c>
      <c r="N49">
        <v>34100</v>
      </c>
      <c r="O49" t="s">
        <v>24</v>
      </c>
      <c r="P49" t="s">
        <v>524</v>
      </c>
      <c r="Q49" t="s">
        <v>25</v>
      </c>
      <c r="R49">
        <v>164500</v>
      </c>
      <c r="S49" t="s">
        <v>63</v>
      </c>
      <c r="T49">
        <v>1</v>
      </c>
      <c r="U49">
        <v>0</v>
      </c>
      <c r="V49">
        <v>0</v>
      </c>
      <c r="W49">
        <v>0</v>
      </c>
      <c r="X49">
        <v>0</v>
      </c>
      <c r="Y49" s="2">
        <v>-235691.65</v>
      </c>
      <c r="Z49" s="2">
        <v>235692.65</v>
      </c>
      <c r="AA49">
        <v>0</v>
      </c>
    </row>
    <row r="50" spans="1:27" x14ac:dyDescent="0.35">
      <c r="A50">
        <v>4154</v>
      </c>
      <c r="B50">
        <v>0</v>
      </c>
      <c r="C50" s="1">
        <v>44865</v>
      </c>
      <c r="D50">
        <v>1</v>
      </c>
      <c r="E50" t="s">
        <v>20</v>
      </c>
      <c r="F50" t="s">
        <v>499</v>
      </c>
      <c r="G50" s="1">
        <v>44866</v>
      </c>
      <c r="H50" s="2">
        <v>117803.23</v>
      </c>
      <c r="I50" s="2">
        <f t="shared" si="0"/>
        <v>-51049.229999999996</v>
      </c>
      <c r="J50" s="2">
        <v>66754</v>
      </c>
      <c r="K50" t="s">
        <v>23</v>
      </c>
      <c r="L50">
        <v>10700040</v>
      </c>
      <c r="M50" t="s">
        <v>65</v>
      </c>
      <c r="N50">
        <v>34100</v>
      </c>
      <c r="O50" t="s">
        <v>24</v>
      </c>
      <c r="P50" t="s">
        <v>524</v>
      </c>
      <c r="Q50" t="s">
        <v>25</v>
      </c>
      <c r="R50">
        <v>164500</v>
      </c>
      <c r="S50" t="s">
        <v>63</v>
      </c>
      <c r="T50">
        <v>1</v>
      </c>
      <c r="U50">
        <v>0</v>
      </c>
      <c r="V50">
        <v>0</v>
      </c>
      <c r="W50">
        <v>0</v>
      </c>
      <c r="X50">
        <v>0</v>
      </c>
      <c r="Y50" s="2">
        <v>-99139.56</v>
      </c>
      <c r="Z50" s="2">
        <v>99140.56</v>
      </c>
      <c r="AA50">
        <v>0</v>
      </c>
    </row>
    <row r="51" spans="1:27" x14ac:dyDescent="0.35">
      <c r="A51">
        <v>4207</v>
      </c>
      <c r="B51">
        <v>0</v>
      </c>
      <c r="C51" s="1">
        <v>45046</v>
      </c>
      <c r="D51">
        <v>1</v>
      </c>
      <c r="E51" t="s">
        <v>20</v>
      </c>
      <c r="F51" t="s">
        <v>503</v>
      </c>
      <c r="G51" s="1">
        <v>44986</v>
      </c>
      <c r="H51" s="2">
        <v>231931</v>
      </c>
      <c r="I51" s="2">
        <f t="shared" si="0"/>
        <v>-85041</v>
      </c>
      <c r="J51" s="2">
        <v>146890</v>
      </c>
      <c r="K51" t="s">
        <v>23</v>
      </c>
      <c r="L51">
        <v>10700040</v>
      </c>
      <c r="M51" t="s">
        <v>65</v>
      </c>
      <c r="N51">
        <v>34100</v>
      </c>
      <c r="O51" t="s">
        <v>24</v>
      </c>
      <c r="P51" t="s">
        <v>524</v>
      </c>
      <c r="Q51" t="s">
        <v>25</v>
      </c>
      <c r="R51">
        <v>164500</v>
      </c>
      <c r="S51" t="s">
        <v>63</v>
      </c>
      <c r="T51">
        <v>1</v>
      </c>
      <c r="U51">
        <v>0</v>
      </c>
      <c r="V51">
        <v>0</v>
      </c>
      <c r="W51">
        <v>0</v>
      </c>
      <c r="X51">
        <v>0</v>
      </c>
      <c r="Y51" s="2">
        <v>-353960.33</v>
      </c>
      <c r="Z51" s="2">
        <v>353961.33</v>
      </c>
      <c r="AA51">
        <v>0</v>
      </c>
    </row>
    <row r="52" spans="1:27" x14ac:dyDescent="0.35">
      <c r="A52">
        <v>4295</v>
      </c>
      <c r="B52">
        <v>0</v>
      </c>
      <c r="C52" s="1">
        <v>45291</v>
      </c>
      <c r="D52">
        <v>1</v>
      </c>
      <c r="E52" t="s">
        <v>20</v>
      </c>
      <c r="F52" t="s">
        <v>509</v>
      </c>
      <c r="G52" s="1">
        <v>45261</v>
      </c>
      <c r="H52" s="2">
        <v>75000</v>
      </c>
      <c r="I52" s="2">
        <f t="shared" si="0"/>
        <v>-16250</v>
      </c>
      <c r="J52" s="2">
        <v>58750</v>
      </c>
      <c r="K52" t="s">
        <v>23</v>
      </c>
      <c r="L52">
        <v>10700040</v>
      </c>
      <c r="M52" t="s">
        <v>65</v>
      </c>
      <c r="N52">
        <v>34100</v>
      </c>
      <c r="O52" t="s">
        <v>24</v>
      </c>
      <c r="P52" t="s">
        <v>524</v>
      </c>
      <c r="Q52" t="s">
        <v>25</v>
      </c>
      <c r="R52">
        <v>164500</v>
      </c>
      <c r="S52" t="s">
        <v>63</v>
      </c>
      <c r="T52">
        <v>1</v>
      </c>
      <c r="U52">
        <v>0</v>
      </c>
      <c r="V52">
        <v>0</v>
      </c>
      <c r="W52">
        <v>0</v>
      </c>
      <c r="X52">
        <v>0</v>
      </c>
      <c r="Y52" s="2">
        <v>-241725.73</v>
      </c>
      <c r="Z52" s="2">
        <v>241726.73</v>
      </c>
      <c r="AA52">
        <v>0</v>
      </c>
    </row>
    <row r="53" spans="1:27" x14ac:dyDescent="0.35">
      <c r="A53">
        <v>4375</v>
      </c>
      <c r="B53">
        <v>0</v>
      </c>
      <c r="C53" s="1">
        <v>45565</v>
      </c>
      <c r="D53">
        <v>1</v>
      </c>
      <c r="E53" t="s">
        <v>389</v>
      </c>
      <c r="F53" t="s">
        <v>513</v>
      </c>
      <c r="G53" s="1">
        <v>45505</v>
      </c>
      <c r="H53" s="2">
        <v>387319</v>
      </c>
      <c r="I53" s="2">
        <f t="shared" si="0"/>
        <v>-32277</v>
      </c>
      <c r="J53" s="2">
        <v>355042</v>
      </c>
      <c r="K53" t="s">
        <v>23</v>
      </c>
      <c r="L53">
        <v>10700040</v>
      </c>
      <c r="M53" t="s">
        <v>65</v>
      </c>
      <c r="N53">
        <v>34100</v>
      </c>
      <c r="O53" t="s">
        <v>24</v>
      </c>
      <c r="P53" t="s">
        <v>524</v>
      </c>
      <c r="Q53" t="s">
        <v>25</v>
      </c>
      <c r="R53">
        <v>164500</v>
      </c>
      <c r="S53" t="s">
        <v>63</v>
      </c>
      <c r="T53">
        <v>1</v>
      </c>
      <c r="U53">
        <v>0</v>
      </c>
      <c r="V53">
        <v>0</v>
      </c>
      <c r="W53">
        <v>0</v>
      </c>
      <c r="X53">
        <v>0</v>
      </c>
      <c r="Y53" s="2">
        <v>-172092.04</v>
      </c>
      <c r="Z53" s="2">
        <v>172093.04</v>
      </c>
      <c r="AA53">
        <v>0</v>
      </c>
    </row>
    <row r="54" spans="1:27" x14ac:dyDescent="0.35">
      <c r="A54">
        <v>2654</v>
      </c>
      <c r="B54">
        <v>0</v>
      </c>
      <c r="C54" s="1">
        <v>34356</v>
      </c>
      <c r="F54" t="s">
        <v>190</v>
      </c>
      <c r="G54" s="1">
        <v>34356</v>
      </c>
      <c r="H54" s="2">
        <v>32710.11</v>
      </c>
      <c r="I54" s="2">
        <f t="shared" si="0"/>
        <v>-32710.11</v>
      </c>
      <c r="J54">
        <v>0</v>
      </c>
      <c r="K54" t="s">
        <v>23</v>
      </c>
      <c r="L54">
        <v>30700040</v>
      </c>
      <c r="M54" t="s">
        <v>62</v>
      </c>
      <c r="N54">
        <v>17000</v>
      </c>
      <c r="O54" t="s">
        <v>27</v>
      </c>
      <c r="P54" t="s">
        <v>525</v>
      </c>
      <c r="Q54" t="s">
        <v>32</v>
      </c>
      <c r="R54">
        <v>164500</v>
      </c>
      <c r="S54" t="s">
        <v>63</v>
      </c>
      <c r="T54">
        <v>1</v>
      </c>
      <c r="U54">
        <v>0</v>
      </c>
      <c r="V54">
        <v>0</v>
      </c>
      <c r="W54">
        <v>0</v>
      </c>
      <c r="X54">
        <v>0</v>
      </c>
      <c r="Y54" s="2">
        <v>-101010.14</v>
      </c>
      <c r="Z54" s="2">
        <v>101011.14</v>
      </c>
      <c r="AA54">
        <v>0</v>
      </c>
    </row>
    <row r="55" spans="1:27" x14ac:dyDescent="0.35">
      <c r="A55">
        <v>2658</v>
      </c>
      <c r="B55">
        <v>0</v>
      </c>
      <c r="C55" s="1">
        <v>34880</v>
      </c>
      <c r="D55">
        <v>1</v>
      </c>
      <c r="E55" t="s">
        <v>20</v>
      </c>
      <c r="F55" t="s">
        <v>216</v>
      </c>
      <c r="G55" s="1">
        <v>34880</v>
      </c>
      <c r="H55" s="2">
        <v>33315.56</v>
      </c>
      <c r="I55" s="2">
        <f t="shared" si="0"/>
        <v>-33314.559999999998</v>
      </c>
      <c r="J55">
        <v>1</v>
      </c>
      <c r="K55" t="s">
        <v>23</v>
      </c>
      <c r="L55">
        <v>30700040</v>
      </c>
      <c r="M55" t="s">
        <v>62</v>
      </c>
      <c r="N55">
        <v>15100</v>
      </c>
      <c r="O55" t="s">
        <v>84</v>
      </c>
      <c r="P55" t="s">
        <v>525</v>
      </c>
      <c r="Q55" t="s">
        <v>85</v>
      </c>
      <c r="R55">
        <v>164500</v>
      </c>
      <c r="S55" t="s">
        <v>63</v>
      </c>
      <c r="T55">
        <v>1</v>
      </c>
      <c r="U55">
        <v>0</v>
      </c>
      <c r="V55">
        <v>0</v>
      </c>
      <c r="W55">
        <v>0</v>
      </c>
      <c r="X55">
        <v>0</v>
      </c>
      <c r="Y55" s="2">
        <v>-56104.28</v>
      </c>
      <c r="Z55" s="2">
        <v>56105.279999999999</v>
      </c>
      <c r="AA55">
        <v>0</v>
      </c>
    </row>
    <row r="56" spans="1:27" x14ac:dyDescent="0.35">
      <c r="A56">
        <v>2659</v>
      </c>
      <c r="B56">
        <v>0</v>
      </c>
      <c r="C56" s="1">
        <v>34880</v>
      </c>
      <c r="F56" t="s">
        <v>217</v>
      </c>
      <c r="G56" s="1">
        <v>34880</v>
      </c>
      <c r="H56" s="2">
        <v>78909.08</v>
      </c>
      <c r="I56" s="2">
        <f t="shared" si="0"/>
        <v>-78908.08</v>
      </c>
      <c r="J56">
        <v>1</v>
      </c>
      <c r="K56" t="s">
        <v>23</v>
      </c>
      <c r="L56">
        <v>30700040</v>
      </c>
      <c r="M56" t="s">
        <v>62</v>
      </c>
      <c r="N56">
        <v>17000</v>
      </c>
      <c r="O56" t="s">
        <v>27</v>
      </c>
      <c r="P56" t="s">
        <v>525</v>
      </c>
      <c r="Q56" t="s">
        <v>32</v>
      </c>
      <c r="R56">
        <v>164500</v>
      </c>
      <c r="S56" t="s">
        <v>63</v>
      </c>
      <c r="T56">
        <v>1</v>
      </c>
      <c r="U56">
        <v>0</v>
      </c>
      <c r="V56">
        <v>0</v>
      </c>
      <c r="W56">
        <v>0</v>
      </c>
      <c r="X56">
        <v>0</v>
      </c>
      <c r="Y56" s="2">
        <v>-8808.0400000000009</v>
      </c>
      <c r="Z56" s="2">
        <v>8809.0400000000009</v>
      </c>
      <c r="AA56">
        <v>0</v>
      </c>
    </row>
    <row r="57" spans="1:27" x14ac:dyDescent="0.35">
      <c r="A57">
        <v>2660</v>
      </c>
      <c r="B57">
        <v>0</v>
      </c>
      <c r="C57" s="1">
        <v>34880</v>
      </c>
      <c r="D57">
        <v>1</v>
      </c>
      <c r="E57" t="s">
        <v>20</v>
      </c>
      <c r="F57" t="s">
        <v>218</v>
      </c>
      <c r="G57" s="1">
        <v>34880</v>
      </c>
      <c r="H57" s="2">
        <v>55107.27</v>
      </c>
      <c r="I57" s="2">
        <f t="shared" si="0"/>
        <v>-55106.27</v>
      </c>
      <c r="J57">
        <v>1</v>
      </c>
      <c r="K57" t="s">
        <v>23</v>
      </c>
      <c r="L57">
        <v>30700040</v>
      </c>
      <c r="M57" t="s">
        <v>62</v>
      </c>
      <c r="N57">
        <v>17000</v>
      </c>
      <c r="O57" t="s">
        <v>27</v>
      </c>
      <c r="P57" t="s">
        <v>525</v>
      </c>
      <c r="Q57" t="s">
        <v>32</v>
      </c>
      <c r="R57">
        <v>164500</v>
      </c>
      <c r="S57" t="s">
        <v>63</v>
      </c>
      <c r="T57">
        <v>1</v>
      </c>
      <c r="U57">
        <v>0</v>
      </c>
      <c r="V57">
        <v>0</v>
      </c>
      <c r="W57">
        <v>0</v>
      </c>
      <c r="X57">
        <v>0</v>
      </c>
      <c r="Y57" s="2">
        <v>-5871.8</v>
      </c>
      <c r="Z57" s="2">
        <v>5872.8</v>
      </c>
      <c r="AA57">
        <v>0</v>
      </c>
    </row>
    <row r="58" spans="1:27" x14ac:dyDescent="0.35">
      <c r="A58">
        <v>2661</v>
      </c>
      <c r="B58">
        <v>0</v>
      </c>
      <c r="C58" s="1">
        <v>34880</v>
      </c>
      <c r="F58" t="s">
        <v>219</v>
      </c>
      <c r="G58" s="1">
        <v>34880</v>
      </c>
      <c r="H58" s="2">
        <v>24272.73</v>
      </c>
      <c r="I58" s="2">
        <f t="shared" si="0"/>
        <v>-24271.73</v>
      </c>
      <c r="J58">
        <v>1</v>
      </c>
      <c r="K58" t="s">
        <v>23</v>
      </c>
      <c r="L58">
        <v>30700040</v>
      </c>
      <c r="M58" t="s">
        <v>62</v>
      </c>
      <c r="N58">
        <v>17000</v>
      </c>
      <c r="O58" t="s">
        <v>27</v>
      </c>
      <c r="P58" t="s">
        <v>525</v>
      </c>
      <c r="Q58" t="s">
        <v>32</v>
      </c>
      <c r="R58">
        <v>164500</v>
      </c>
      <c r="S58" t="s">
        <v>63</v>
      </c>
      <c r="T58">
        <v>1</v>
      </c>
      <c r="U58">
        <v>0</v>
      </c>
      <c r="V58">
        <v>0</v>
      </c>
      <c r="W58">
        <v>0</v>
      </c>
      <c r="X58">
        <v>0</v>
      </c>
      <c r="Y58" s="2">
        <v>-2740.57</v>
      </c>
      <c r="Z58" s="2">
        <v>2741.57</v>
      </c>
      <c r="AA58">
        <v>0</v>
      </c>
    </row>
    <row r="59" spans="1:27" x14ac:dyDescent="0.35">
      <c r="A59">
        <v>2650</v>
      </c>
      <c r="B59">
        <v>0</v>
      </c>
      <c r="C59" s="1">
        <v>36385</v>
      </c>
      <c r="D59">
        <v>1</v>
      </c>
      <c r="E59" t="s">
        <v>20</v>
      </c>
      <c r="F59" t="s">
        <v>312</v>
      </c>
      <c r="G59" s="1">
        <v>36385</v>
      </c>
      <c r="H59" s="2">
        <v>26363.630000000005</v>
      </c>
      <c r="I59" s="2">
        <f t="shared" si="0"/>
        <v>-26362.630000000005</v>
      </c>
      <c r="J59">
        <v>1</v>
      </c>
      <c r="K59" t="s">
        <v>23</v>
      </c>
      <c r="L59">
        <v>30700040</v>
      </c>
      <c r="M59" t="s">
        <v>62</v>
      </c>
      <c r="N59">
        <v>17000</v>
      </c>
      <c r="O59" t="s">
        <v>27</v>
      </c>
      <c r="P59" t="s">
        <v>525</v>
      </c>
      <c r="Q59" t="s">
        <v>32</v>
      </c>
      <c r="R59">
        <v>164500</v>
      </c>
      <c r="S59" t="s">
        <v>63</v>
      </c>
      <c r="T59">
        <v>1</v>
      </c>
      <c r="U59">
        <v>0</v>
      </c>
      <c r="V59">
        <v>0</v>
      </c>
      <c r="W59">
        <v>0</v>
      </c>
      <c r="X59">
        <v>0</v>
      </c>
      <c r="Y59" s="2">
        <v>-34455.14</v>
      </c>
      <c r="Z59" s="2">
        <v>34456.14</v>
      </c>
      <c r="AA59">
        <v>0</v>
      </c>
    </row>
    <row r="60" spans="1:27" x14ac:dyDescent="0.35">
      <c r="A60">
        <v>2281</v>
      </c>
      <c r="B60">
        <v>0</v>
      </c>
      <c r="C60" s="1">
        <v>37437</v>
      </c>
      <c r="F60" t="s">
        <v>216</v>
      </c>
      <c r="G60" s="1">
        <v>37438</v>
      </c>
      <c r="H60" s="2">
        <v>33314.559999999998</v>
      </c>
      <c r="I60" s="2">
        <f t="shared" si="0"/>
        <v>-33314.559999999998</v>
      </c>
      <c r="J60">
        <v>0</v>
      </c>
      <c r="K60" t="s">
        <v>23</v>
      </c>
      <c r="L60">
        <v>30700040</v>
      </c>
      <c r="M60" t="s">
        <v>62</v>
      </c>
      <c r="N60">
        <v>15100</v>
      </c>
      <c r="O60" t="s">
        <v>84</v>
      </c>
      <c r="P60" t="s">
        <v>525</v>
      </c>
      <c r="Q60" t="s">
        <v>85</v>
      </c>
      <c r="R60">
        <v>164500</v>
      </c>
      <c r="S60" t="s">
        <v>63</v>
      </c>
      <c r="T60">
        <v>1</v>
      </c>
      <c r="U60">
        <v>0</v>
      </c>
      <c r="V60">
        <v>0</v>
      </c>
      <c r="W60">
        <v>0</v>
      </c>
      <c r="X60">
        <v>0</v>
      </c>
      <c r="Y60" s="2">
        <v>-2977.18</v>
      </c>
      <c r="Z60" s="2">
        <v>2978.18</v>
      </c>
      <c r="AA60">
        <v>0</v>
      </c>
    </row>
    <row r="61" spans="1:27" x14ac:dyDescent="0.35">
      <c r="A61">
        <v>3241</v>
      </c>
      <c r="B61">
        <v>0</v>
      </c>
      <c r="C61" s="1">
        <v>41851</v>
      </c>
      <c r="D61">
        <v>1</v>
      </c>
      <c r="E61" t="s">
        <v>334</v>
      </c>
      <c r="F61" t="s">
        <v>426</v>
      </c>
      <c r="G61" s="1">
        <v>41852</v>
      </c>
      <c r="H61" s="2">
        <v>7500</v>
      </c>
      <c r="I61" s="2">
        <f t="shared" si="0"/>
        <v>-7499</v>
      </c>
      <c r="J61">
        <v>1</v>
      </c>
      <c r="K61" t="s">
        <v>23</v>
      </c>
      <c r="L61">
        <v>30700040</v>
      </c>
      <c r="M61" t="s">
        <v>62</v>
      </c>
      <c r="N61">
        <v>11300</v>
      </c>
      <c r="O61" t="s">
        <v>29</v>
      </c>
      <c r="P61" t="s">
        <v>525</v>
      </c>
      <c r="Q61" t="s">
        <v>48</v>
      </c>
      <c r="R61">
        <v>164500</v>
      </c>
      <c r="S61" t="s">
        <v>63</v>
      </c>
      <c r="T61">
        <v>1</v>
      </c>
      <c r="U61">
        <v>0</v>
      </c>
      <c r="V61">
        <v>0</v>
      </c>
      <c r="W61">
        <v>0</v>
      </c>
      <c r="X61">
        <v>0</v>
      </c>
      <c r="Y61" s="2">
        <v>-32730.33</v>
      </c>
      <c r="Z61" s="2">
        <v>32731.33</v>
      </c>
      <c r="AA61">
        <v>0</v>
      </c>
    </row>
    <row r="62" spans="1:27" x14ac:dyDescent="0.35">
      <c r="A62">
        <v>3244</v>
      </c>
      <c r="B62">
        <v>0</v>
      </c>
      <c r="C62" s="1">
        <v>41851</v>
      </c>
      <c r="D62">
        <v>1</v>
      </c>
      <c r="E62" t="s">
        <v>334</v>
      </c>
      <c r="F62" t="s">
        <v>427</v>
      </c>
      <c r="G62" s="1">
        <v>41852</v>
      </c>
      <c r="H62" s="2">
        <v>8419.75</v>
      </c>
      <c r="I62" s="2">
        <f t="shared" si="0"/>
        <v>-8418.75</v>
      </c>
      <c r="J62">
        <v>1</v>
      </c>
      <c r="K62" t="s">
        <v>23</v>
      </c>
      <c r="L62">
        <v>30700040</v>
      </c>
      <c r="M62" t="s">
        <v>62</v>
      </c>
      <c r="N62">
        <v>11300</v>
      </c>
      <c r="O62" t="s">
        <v>29</v>
      </c>
      <c r="P62" t="s">
        <v>525</v>
      </c>
      <c r="Q62" t="s">
        <v>48</v>
      </c>
      <c r="R62">
        <v>164500</v>
      </c>
      <c r="S62" t="s">
        <v>63</v>
      </c>
      <c r="T62">
        <v>1</v>
      </c>
      <c r="U62">
        <v>0</v>
      </c>
      <c r="V62">
        <v>0</v>
      </c>
      <c r="W62">
        <v>0</v>
      </c>
      <c r="X62">
        <v>0</v>
      </c>
      <c r="Y62" s="2">
        <v>-44799</v>
      </c>
      <c r="Z62" s="2">
        <v>44800</v>
      </c>
      <c r="AA62">
        <v>0</v>
      </c>
    </row>
    <row r="63" spans="1:27" x14ac:dyDescent="0.35">
      <c r="A63">
        <v>3324</v>
      </c>
      <c r="B63">
        <v>0</v>
      </c>
      <c r="C63" s="1">
        <v>42004</v>
      </c>
      <c r="D63">
        <v>3</v>
      </c>
      <c r="E63" t="s">
        <v>334</v>
      </c>
      <c r="F63" t="s">
        <v>441</v>
      </c>
      <c r="G63" s="1">
        <v>41791</v>
      </c>
      <c r="H63" s="2">
        <v>29250</v>
      </c>
      <c r="I63" s="2">
        <f t="shared" si="0"/>
        <v>-29249</v>
      </c>
      <c r="J63">
        <v>1</v>
      </c>
      <c r="K63" t="s">
        <v>23</v>
      </c>
      <c r="L63">
        <v>30700040</v>
      </c>
      <c r="M63" t="s">
        <v>62</v>
      </c>
      <c r="N63">
        <v>11000</v>
      </c>
      <c r="O63" t="s">
        <v>97</v>
      </c>
      <c r="P63" t="s">
        <v>525</v>
      </c>
      <c r="Q63" t="s">
        <v>98</v>
      </c>
      <c r="R63">
        <v>164500</v>
      </c>
      <c r="S63" t="s">
        <v>63</v>
      </c>
      <c r="T63">
        <v>1</v>
      </c>
      <c r="U63">
        <v>0</v>
      </c>
      <c r="V63">
        <v>0</v>
      </c>
      <c r="W63">
        <v>0</v>
      </c>
      <c r="X63">
        <v>0</v>
      </c>
      <c r="Y63" s="2">
        <v>-32730.33</v>
      </c>
      <c r="Z63" s="2">
        <v>32731.33</v>
      </c>
      <c r="AA63">
        <v>0</v>
      </c>
    </row>
    <row r="64" spans="1:27" x14ac:dyDescent="0.35">
      <c r="A64">
        <v>3325</v>
      </c>
      <c r="B64">
        <v>0</v>
      </c>
      <c r="C64" s="1">
        <v>42004</v>
      </c>
      <c r="D64">
        <v>2</v>
      </c>
      <c r="E64" t="s">
        <v>334</v>
      </c>
      <c r="F64" t="s">
        <v>442</v>
      </c>
      <c r="G64" s="1">
        <v>41974</v>
      </c>
      <c r="H64" s="2">
        <v>70519.17</v>
      </c>
      <c r="I64" s="2">
        <f t="shared" si="0"/>
        <v>-70518.17</v>
      </c>
      <c r="J64">
        <v>1</v>
      </c>
      <c r="K64" t="s">
        <v>33</v>
      </c>
      <c r="L64">
        <v>30700040</v>
      </c>
      <c r="M64" t="s">
        <v>62</v>
      </c>
      <c r="N64">
        <v>11000</v>
      </c>
      <c r="O64" t="s">
        <v>97</v>
      </c>
      <c r="P64" t="s">
        <v>525</v>
      </c>
      <c r="Q64" t="s">
        <v>98</v>
      </c>
      <c r="R64">
        <v>164500</v>
      </c>
      <c r="S64" t="s">
        <v>63</v>
      </c>
      <c r="T64">
        <v>1</v>
      </c>
      <c r="U64">
        <v>0</v>
      </c>
      <c r="V64">
        <v>0</v>
      </c>
      <c r="W64">
        <v>0</v>
      </c>
      <c r="X64">
        <v>0</v>
      </c>
      <c r="Y64" s="2">
        <v>-10385.549999999999</v>
      </c>
      <c r="Z64" s="2">
        <v>10386.549999999999</v>
      </c>
      <c r="AA64">
        <v>0</v>
      </c>
    </row>
    <row r="65" spans="1:27" x14ac:dyDescent="0.35">
      <c r="A65">
        <v>3379</v>
      </c>
      <c r="B65">
        <v>0</v>
      </c>
      <c r="C65" s="1">
        <v>42124</v>
      </c>
      <c r="D65">
        <v>1</v>
      </c>
      <c r="E65" t="s">
        <v>334</v>
      </c>
      <c r="F65" t="s">
        <v>449</v>
      </c>
      <c r="G65" s="1">
        <v>42095</v>
      </c>
      <c r="H65" s="2">
        <v>7099.75</v>
      </c>
      <c r="I65" s="2">
        <f t="shared" si="0"/>
        <v>-7098.75</v>
      </c>
      <c r="J65">
        <v>1</v>
      </c>
      <c r="K65" t="s">
        <v>204</v>
      </c>
      <c r="L65">
        <v>30700040</v>
      </c>
      <c r="M65" t="s">
        <v>62</v>
      </c>
      <c r="N65">
        <v>11000</v>
      </c>
      <c r="O65" t="s">
        <v>97</v>
      </c>
      <c r="P65" t="s">
        <v>525</v>
      </c>
      <c r="Q65" t="s">
        <v>98</v>
      </c>
      <c r="R65">
        <v>164500</v>
      </c>
      <c r="S65" t="s">
        <v>63</v>
      </c>
      <c r="T65">
        <v>1</v>
      </c>
      <c r="U65">
        <v>0</v>
      </c>
      <c r="V65">
        <v>0</v>
      </c>
      <c r="W65">
        <v>0</v>
      </c>
      <c r="X65">
        <v>0</v>
      </c>
      <c r="Y65" s="2">
        <v>-4204.45</v>
      </c>
      <c r="Z65" s="2">
        <v>4205.45</v>
      </c>
      <c r="AA65">
        <v>0</v>
      </c>
    </row>
    <row r="66" spans="1:27" x14ac:dyDescent="0.35">
      <c r="A66">
        <v>3390</v>
      </c>
      <c r="B66">
        <v>0</v>
      </c>
      <c r="C66" s="1">
        <v>42155</v>
      </c>
      <c r="D66">
        <v>1</v>
      </c>
      <c r="E66" t="s">
        <v>334</v>
      </c>
      <c r="F66" t="s">
        <v>452</v>
      </c>
      <c r="G66" s="1">
        <v>42156</v>
      </c>
      <c r="H66" s="2">
        <v>7500</v>
      </c>
      <c r="I66" s="2">
        <f t="shared" ref="I66:I129" si="1">J66-H66</f>
        <v>-7499</v>
      </c>
      <c r="J66">
        <v>1</v>
      </c>
      <c r="K66" t="s">
        <v>23</v>
      </c>
      <c r="L66">
        <v>30700040</v>
      </c>
      <c r="M66" t="s">
        <v>62</v>
      </c>
      <c r="N66">
        <v>11300</v>
      </c>
      <c r="O66" t="s">
        <v>29</v>
      </c>
      <c r="P66" t="s">
        <v>525</v>
      </c>
      <c r="Q66" t="s">
        <v>48</v>
      </c>
      <c r="R66">
        <v>164500</v>
      </c>
      <c r="S66" t="s">
        <v>63</v>
      </c>
      <c r="T66">
        <v>1</v>
      </c>
      <c r="U66">
        <v>0</v>
      </c>
      <c r="V66">
        <v>0</v>
      </c>
      <c r="W66">
        <v>0</v>
      </c>
      <c r="X66">
        <v>0</v>
      </c>
      <c r="Y66" s="2">
        <v>-41999</v>
      </c>
      <c r="Z66" s="2">
        <v>42000</v>
      </c>
      <c r="AA66">
        <v>0</v>
      </c>
    </row>
    <row r="67" spans="1:27" x14ac:dyDescent="0.35">
      <c r="A67">
        <v>2875</v>
      </c>
      <c r="B67">
        <v>0</v>
      </c>
      <c r="C67" s="1">
        <v>40908</v>
      </c>
      <c r="D67">
        <v>1</v>
      </c>
      <c r="E67" t="s">
        <v>20</v>
      </c>
      <c r="F67" t="s">
        <v>390</v>
      </c>
      <c r="G67" s="1">
        <v>40909</v>
      </c>
      <c r="H67" s="2">
        <v>23530</v>
      </c>
      <c r="I67" s="2">
        <f t="shared" si="1"/>
        <v>-23529</v>
      </c>
      <c r="J67">
        <v>1</v>
      </c>
      <c r="K67" t="s">
        <v>23</v>
      </c>
      <c r="L67">
        <v>30700040</v>
      </c>
      <c r="M67" t="s">
        <v>62</v>
      </c>
      <c r="N67">
        <v>52000</v>
      </c>
      <c r="O67" t="s">
        <v>369</v>
      </c>
      <c r="P67" t="s">
        <v>369</v>
      </c>
      <c r="Q67" t="s">
        <v>370</v>
      </c>
      <c r="R67">
        <v>164500</v>
      </c>
      <c r="S67" t="s">
        <v>63</v>
      </c>
      <c r="T67">
        <v>1</v>
      </c>
      <c r="U67">
        <v>0</v>
      </c>
      <c r="V67">
        <v>0</v>
      </c>
      <c r="W67">
        <v>0</v>
      </c>
      <c r="X67">
        <v>0</v>
      </c>
      <c r="Y67" s="2">
        <v>-30200.720000000001</v>
      </c>
      <c r="Z67" s="2">
        <v>30201.72</v>
      </c>
      <c r="AA67">
        <v>0</v>
      </c>
    </row>
    <row r="68" spans="1:27" x14ac:dyDescent="0.35">
      <c r="A68">
        <v>2407</v>
      </c>
      <c r="B68">
        <v>0</v>
      </c>
      <c r="C68" s="1">
        <v>31538</v>
      </c>
      <c r="D68">
        <v>1</v>
      </c>
      <c r="E68" t="s">
        <v>20</v>
      </c>
      <c r="F68" t="s">
        <v>60</v>
      </c>
      <c r="G68" s="1">
        <v>31538</v>
      </c>
      <c r="H68" s="2">
        <v>2950</v>
      </c>
      <c r="I68" s="2">
        <f t="shared" si="1"/>
        <v>-2949</v>
      </c>
      <c r="J68">
        <v>1</v>
      </c>
      <c r="K68" t="s">
        <v>23</v>
      </c>
      <c r="L68">
        <v>10700040</v>
      </c>
      <c r="M68" t="s">
        <v>65</v>
      </c>
      <c r="N68">
        <v>20540</v>
      </c>
      <c r="O68" t="s">
        <v>36</v>
      </c>
      <c r="P68" t="s">
        <v>526</v>
      </c>
      <c r="Q68" t="s">
        <v>36</v>
      </c>
      <c r="R68">
        <v>164500</v>
      </c>
      <c r="S68" t="s">
        <v>63</v>
      </c>
      <c r="T68">
        <v>1</v>
      </c>
      <c r="U68">
        <v>0</v>
      </c>
      <c r="V68">
        <v>0</v>
      </c>
      <c r="W68">
        <v>0</v>
      </c>
      <c r="X68">
        <v>0</v>
      </c>
      <c r="Y68" s="2">
        <v>-8589.91</v>
      </c>
      <c r="Z68" s="2">
        <v>8590.91</v>
      </c>
      <c r="AA68">
        <v>0</v>
      </c>
    </row>
    <row r="69" spans="1:27" x14ac:dyDescent="0.35">
      <c r="A69">
        <v>2298</v>
      </c>
      <c r="B69">
        <v>0</v>
      </c>
      <c r="C69" s="1">
        <v>37798</v>
      </c>
      <c r="D69">
        <v>1</v>
      </c>
      <c r="E69" t="s">
        <v>20</v>
      </c>
      <c r="F69" t="s">
        <v>350</v>
      </c>
      <c r="G69" s="1">
        <v>37803</v>
      </c>
      <c r="H69" s="2">
        <v>68363.64</v>
      </c>
      <c r="I69" s="2">
        <f t="shared" si="1"/>
        <v>-68362.64</v>
      </c>
      <c r="J69">
        <v>1</v>
      </c>
      <c r="K69" t="s">
        <v>23</v>
      </c>
      <c r="L69">
        <v>10700040</v>
      </c>
      <c r="M69" t="s">
        <v>65</v>
      </c>
      <c r="N69">
        <v>20540</v>
      </c>
      <c r="O69" t="s">
        <v>36</v>
      </c>
      <c r="P69" t="s">
        <v>526</v>
      </c>
      <c r="Q69" t="s">
        <v>36</v>
      </c>
      <c r="R69">
        <v>164500</v>
      </c>
      <c r="S69" t="s">
        <v>63</v>
      </c>
      <c r="T69">
        <v>1</v>
      </c>
      <c r="U69">
        <v>0</v>
      </c>
      <c r="V69">
        <v>0</v>
      </c>
      <c r="W69">
        <v>0</v>
      </c>
      <c r="X69">
        <v>0</v>
      </c>
      <c r="Y69" s="2">
        <v>-6344.45</v>
      </c>
      <c r="Z69" s="2">
        <v>6345.45</v>
      </c>
      <c r="AA69">
        <v>0</v>
      </c>
    </row>
    <row r="70" spans="1:27" x14ac:dyDescent="0.35">
      <c r="A70">
        <v>3187</v>
      </c>
      <c r="B70">
        <v>0</v>
      </c>
      <c r="C70" s="1">
        <v>41759</v>
      </c>
      <c r="D70">
        <v>1</v>
      </c>
      <c r="E70" t="s">
        <v>334</v>
      </c>
      <c r="F70" t="s">
        <v>422</v>
      </c>
      <c r="G70" s="1">
        <v>41760</v>
      </c>
      <c r="H70" s="2">
        <v>16750</v>
      </c>
      <c r="I70" s="2">
        <f t="shared" si="1"/>
        <v>-16749</v>
      </c>
      <c r="J70">
        <v>1</v>
      </c>
      <c r="K70" t="s">
        <v>23</v>
      </c>
      <c r="L70">
        <v>10700040</v>
      </c>
      <c r="M70" t="s">
        <v>65</v>
      </c>
      <c r="N70">
        <v>20540</v>
      </c>
      <c r="O70" t="s">
        <v>36</v>
      </c>
      <c r="P70" t="s">
        <v>526</v>
      </c>
      <c r="Q70" t="s">
        <v>36</v>
      </c>
      <c r="R70">
        <v>164500</v>
      </c>
      <c r="S70" t="s">
        <v>63</v>
      </c>
      <c r="T70">
        <v>1</v>
      </c>
      <c r="U70">
        <v>0</v>
      </c>
      <c r="V70">
        <v>0</v>
      </c>
      <c r="W70">
        <v>0</v>
      </c>
      <c r="X70">
        <v>0</v>
      </c>
      <c r="Y70" s="2">
        <v>-6344.45</v>
      </c>
      <c r="Z70" s="2">
        <v>6345.45</v>
      </c>
      <c r="AA70">
        <v>0</v>
      </c>
    </row>
    <row r="71" spans="1:27" x14ac:dyDescent="0.35">
      <c r="A71">
        <v>3494</v>
      </c>
      <c r="B71">
        <v>0</v>
      </c>
      <c r="C71" s="1">
        <v>42095</v>
      </c>
      <c r="D71">
        <v>1</v>
      </c>
      <c r="E71" t="s">
        <v>334</v>
      </c>
      <c r="F71" t="s">
        <v>447</v>
      </c>
      <c r="G71" s="1">
        <v>42095</v>
      </c>
      <c r="H71" s="2">
        <v>61329</v>
      </c>
      <c r="I71" s="2">
        <f t="shared" si="1"/>
        <v>-61328</v>
      </c>
      <c r="J71">
        <v>1</v>
      </c>
      <c r="K71" t="s">
        <v>23</v>
      </c>
      <c r="L71">
        <v>10700040</v>
      </c>
      <c r="M71" t="s">
        <v>65</v>
      </c>
      <c r="N71">
        <v>20540</v>
      </c>
      <c r="O71" t="s">
        <v>36</v>
      </c>
      <c r="P71" t="s">
        <v>526</v>
      </c>
      <c r="Q71" t="s">
        <v>45</v>
      </c>
      <c r="R71">
        <v>164500</v>
      </c>
      <c r="S71" t="s">
        <v>63</v>
      </c>
      <c r="T71">
        <v>1</v>
      </c>
      <c r="U71">
        <v>0</v>
      </c>
      <c r="V71">
        <v>0</v>
      </c>
      <c r="W71">
        <v>0</v>
      </c>
      <c r="X71">
        <v>0</v>
      </c>
      <c r="Y71" s="2">
        <v>-4844.46</v>
      </c>
      <c r="Z71" s="2">
        <v>4845.46</v>
      </c>
      <c r="AA71">
        <v>0</v>
      </c>
    </row>
    <row r="72" spans="1:27" x14ac:dyDescent="0.35">
      <c r="A72">
        <v>3496</v>
      </c>
      <c r="B72">
        <v>0</v>
      </c>
      <c r="C72" s="1">
        <v>42095</v>
      </c>
      <c r="D72">
        <v>1</v>
      </c>
      <c r="E72" t="s">
        <v>334</v>
      </c>
      <c r="F72" t="s">
        <v>448</v>
      </c>
      <c r="G72" s="1">
        <v>42095</v>
      </c>
      <c r="H72" s="2">
        <v>5349292.41</v>
      </c>
      <c r="I72" s="2">
        <f t="shared" si="1"/>
        <v>-2607783.41</v>
      </c>
      <c r="J72" s="2">
        <v>2741509</v>
      </c>
      <c r="K72" t="s">
        <v>50</v>
      </c>
      <c r="L72">
        <v>10700040</v>
      </c>
      <c r="M72" t="s">
        <v>65</v>
      </c>
      <c r="N72">
        <v>20540</v>
      </c>
      <c r="O72" t="s">
        <v>36</v>
      </c>
      <c r="P72" t="s">
        <v>526</v>
      </c>
      <c r="Q72" t="s">
        <v>36</v>
      </c>
      <c r="R72">
        <v>164500</v>
      </c>
      <c r="S72" t="s">
        <v>63</v>
      </c>
      <c r="T72">
        <v>1</v>
      </c>
      <c r="U72">
        <v>0</v>
      </c>
      <c r="V72">
        <v>0</v>
      </c>
      <c r="W72">
        <v>0</v>
      </c>
      <c r="X72">
        <v>0</v>
      </c>
      <c r="Y72" s="2">
        <v>-4844.45</v>
      </c>
      <c r="Z72" s="2">
        <v>4845.45</v>
      </c>
      <c r="AA72">
        <v>0</v>
      </c>
    </row>
    <row r="73" spans="1:27" x14ac:dyDescent="0.35">
      <c r="A73">
        <v>3809</v>
      </c>
      <c r="B73">
        <v>0</v>
      </c>
      <c r="C73" s="1">
        <v>43465</v>
      </c>
      <c r="D73">
        <v>1</v>
      </c>
      <c r="E73" t="s">
        <v>20</v>
      </c>
      <c r="F73" t="s">
        <v>483</v>
      </c>
      <c r="G73" s="1">
        <v>43405</v>
      </c>
      <c r="H73" s="2">
        <v>263414.77</v>
      </c>
      <c r="I73" s="2">
        <f t="shared" si="1"/>
        <v>-263413.77</v>
      </c>
      <c r="J73">
        <v>1</v>
      </c>
      <c r="K73" t="s">
        <v>23</v>
      </c>
      <c r="L73">
        <v>10700040</v>
      </c>
      <c r="M73" t="s">
        <v>65</v>
      </c>
      <c r="N73">
        <v>20540</v>
      </c>
      <c r="O73" t="s">
        <v>36</v>
      </c>
      <c r="P73" t="s">
        <v>526</v>
      </c>
      <c r="Q73" t="s">
        <v>36</v>
      </c>
      <c r="R73">
        <v>164500</v>
      </c>
      <c r="S73" t="s">
        <v>63</v>
      </c>
      <c r="T73">
        <v>1</v>
      </c>
      <c r="U73">
        <v>0</v>
      </c>
      <c r="V73">
        <v>0</v>
      </c>
      <c r="W73">
        <v>0</v>
      </c>
      <c r="X73">
        <v>0</v>
      </c>
      <c r="Y73" s="2">
        <v>-382729.12</v>
      </c>
      <c r="Z73" s="2">
        <v>382730.12</v>
      </c>
      <c r="AA73">
        <v>0</v>
      </c>
    </row>
    <row r="74" spans="1:27" x14ac:dyDescent="0.35">
      <c r="A74">
        <v>4369</v>
      </c>
      <c r="B74">
        <v>0</v>
      </c>
      <c r="C74" s="1">
        <v>45535</v>
      </c>
      <c r="D74">
        <v>1</v>
      </c>
      <c r="E74" t="s">
        <v>389</v>
      </c>
      <c r="F74" t="s">
        <v>511</v>
      </c>
      <c r="G74" s="1">
        <v>45413</v>
      </c>
      <c r="H74" s="2">
        <v>109658.93</v>
      </c>
      <c r="I74" s="2">
        <f t="shared" si="1"/>
        <v>-14621.929999999993</v>
      </c>
      <c r="J74" s="2">
        <v>95037</v>
      </c>
      <c r="K74" t="s">
        <v>23</v>
      </c>
      <c r="L74">
        <v>10700040</v>
      </c>
      <c r="M74" t="s">
        <v>65</v>
      </c>
      <c r="N74">
        <v>20540</v>
      </c>
      <c r="O74" t="s">
        <v>36</v>
      </c>
      <c r="P74" t="s">
        <v>526</v>
      </c>
      <c r="Q74" t="s">
        <v>36</v>
      </c>
      <c r="R74">
        <v>164500</v>
      </c>
      <c r="S74" t="s">
        <v>63</v>
      </c>
      <c r="T74">
        <v>1</v>
      </c>
      <c r="U74">
        <v>0</v>
      </c>
      <c r="V74">
        <v>0</v>
      </c>
      <c r="W74">
        <v>0</v>
      </c>
      <c r="X74">
        <v>0</v>
      </c>
      <c r="Y74" s="2">
        <v>-6434.14</v>
      </c>
      <c r="Z74" s="2">
        <v>6435.14</v>
      </c>
      <c r="AA74">
        <v>0</v>
      </c>
    </row>
    <row r="75" spans="1:27" x14ac:dyDescent="0.35">
      <c r="A75">
        <v>4390</v>
      </c>
      <c r="B75">
        <v>0</v>
      </c>
      <c r="C75" s="1">
        <v>45596</v>
      </c>
      <c r="D75">
        <v>1</v>
      </c>
      <c r="E75" t="s">
        <v>20</v>
      </c>
      <c r="F75" t="s">
        <v>514</v>
      </c>
      <c r="G75" s="1">
        <v>45566</v>
      </c>
      <c r="H75" s="2">
        <v>2515909.7999999998</v>
      </c>
      <c r="I75" s="2">
        <f t="shared" si="1"/>
        <v>-125795.79999999981</v>
      </c>
      <c r="J75" s="2">
        <v>2390114</v>
      </c>
      <c r="K75" t="s">
        <v>23</v>
      </c>
      <c r="L75">
        <v>10700040</v>
      </c>
      <c r="M75" t="s">
        <v>65</v>
      </c>
      <c r="N75">
        <v>20540</v>
      </c>
      <c r="O75" t="s">
        <v>36</v>
      </c>
      <c r="P75" t="s">
        <v>526</v>
      </c>
      <c r="Q75" t="s">
        <v>36</v>
      </c>
      <c r="R75">
        <v>164500</v>
      </c>
      <c r="S75" t="s">
        <v>63</v>
      </c>
      <c r="T75">
        <v>1</v>
      </c>
      <c r="U75">
        <v>0</v>
      </c>
      <c r="V75">
        <v>0</v>
      </c>
      <c r="W75">
        <v>0</v>
      </c>
      <c r="X75">
        <v>0</v>
      </c>
      <c r="Y75" s="2">
        <v>-38903.550000000003</v>
      </c>
      <c r="Z75" s="2">
        <v>38904.550000000003</v>
      </c>
      <c r="AA75">
        <v>0</v>
      </c>
    </row>
    <row r="76" spans="1:27" x14ac:dyDescent="0.35">
      <c r="A76">
        <v>2591</v>
      </c>
      <c r="B76">
        <v>0</v>
      </c>
      <c r="C76" s="1">
        <v>31306</v>
      </c>
      <c r="D76">
        <v>1</v>
      </c>
      <c r="E76" t="s">
        <v>20</v>
      </c>
      <c r="F76" t="s">
        <v>64</v>
      </c>
      <c r="G76" s="1">
        <v>31306</v>
      </c>
      <c r="H76" s="2">
        <v>12500</v>
      </c>
      <c r="I76" s="2">
        <f t="shared" si="1"/>
        <v>-12499</v>
      </c>
      <c r="J76">
        <v>1</v>
      </c>
      <c r="K76" t="s">
        <v>23</v>
      </c>
      <c r="L76">
        <v>10700040</v>
      </c>
      <c r="M76" t="s">
        <v>65</v>
      </c>
      <c r="N76">
        <v>33000</v>
      </c>
      <c r="O76" t="s">
        <v>30</v>
      </c>
      <c r="P76" t="s">
        <v>527</v>
      </c>
      <c r="Q76" t="s">
        <v>31</v>
      </c>
      <c r="R76">
        <v>164500</v>
      </c>
      <c r="S76" t="s">
        <v>63</v>
      </c>
      <c r="T76">
        <v>1</v>
      </c>
      <c r="U76">
        <v>0</v>
      </c>
      <c r="V76">
        <v>0</v>
      </c>
      <c r="W76">
        <v>0</v>
      </c>
      <c r="X76">
        <v>0</v>
      </c>
      <c r="Y76" s="2">
        <v>-26220.22</v>
      </c>
      <c r="Z76" s="2">
        <v>26221.22</v>
      </c>
      <c r="AA76">
        <v>0</v>
      </c>
    </row>
    <row r="77" spans="1:27" x14ac:dyDescent="0.35">
      <c r="A77">
        <v>2592</v>
      </c>
      <c r="B77">
        <v>0</v>
      </c>
      <c r="C77" s="1">
        <v>31306</v>
      </c>
      <c r="D77">
        <v>1</v>
      </c>
      <c r="E77" t="s">
        <v>20</v>
      </c>
      <c r="F77" t="s">
        <v>66</v>
      </c>
      <c r="G77" s="1">
        <v>31306</v>
      </c>
      <c r="H77" s="2">
        <v>42000</v>
      </c>
      <c r="I77" s="2">
        <f t="shared" si="1"/>
        <v>-41999</v>
      </c>
      <c r="J77">
        <v>1</v>
      </c>
      <c r="K77" t="s">
        <v>23</v>
      </c>
      <c r="L77">
        <v>10700040</v>
      </c>
      <c r="M77" t="s">
        <v>65</v>
      </c>
      <c r="N77">
        <v>33000</v>
      </c>
      <c r="O77" t="s">
        <v>30</v>
      </c>
      <c r="P77" t="s">
        <v>527</v>
      </c>
      <c r="Q77" t="s">
        <v>31</v>
      </c>
      <c r="R77">
        <v>164500</v>
      </c>
      <c r="S77" t="s">
        <v>63</v>
      </c>
      <c r="T77">
        <v>1</v>
      </c>
      <c r="U77">
        <v>0</v>
      </c>
      <c r="V77">
        <v>0</v>
      </c>
      <c r="W77">
        <v>0</v>
      </c>
      <c r="X77">
        <v>0</v>
      </c>
      <c r="Y77" s="2">
        <v>-26220.22</v>
      </c>
      <c r="Z77" s="2">
        <v>26221.22</v>
      </c>
      <c r="AA77">
        <v>0</v>
      </c>
    </row>
    <row r="78" spans="1:27" x14ac:dyDescent="0.35">
      <c r="A78">
        <v>2590</v>
      </c>
      <c r="B78">
        <v>0</v>
      </c>
      <c r="C78" s="1">
        <v>31317</v>
      </c>
      <c r="D78">
        <v>1</v>
      </c>
      <c r="E78" t="s">
        <v>20</v>
      </c>
      <c r="F78" t="s">
        <v>67</v>
      </c>
      <c r="G78" s="1">
        <v>31317</v>
      </c>
      <c r="H78" s="2">
        <v>45934.559999999998</v>
      </c>
      <c r="I78" s="2">
        <f t="shared" si="1"/>
        <v>-45933.56</v>
      </c>
      <c r="J78">
        <v>1</v>
      </c>
      <c r="K78" t="s">
        <v>23</v>
      </c>
      <c r="L78">
        <v>10700040</v>
      </c>
      <c r="M78" t="s">
        <v>65</v>
      </c>
      <c r="N78">
        <v>33000</v>
      </c>
      <c r="O78" t="s">
        <v>30</v>
      </c>
      <c r="P78" t="s">
        <v>527</v>
      </c>
      <c r="Q78" t="s">
        <v>31</v>
      </c>
      <c r="R78">
        <v>164500</v>
      </c>
      <c r="S78" t="s">
        <v>63</v>
      </c>
      <c r="T78">
        <v>1</v>
      </c>
      <c r="U78">
        <v>0</v>
      </c>
      <c r="V78">
        <v>0</v>
      </c>
      <c r="W78">
        <v>0</v>
      </c>
      <c r="X78">
        <v>0</v>
      </c>
      <c r="Y78" s="2">
        <v>-17826.27</v>
      </c>
      <c r="Z78" s="2">
        <v>17827.27</v>
      </c>
      <c r="AA78">
        <v>0</v>
      </c>
    </row>
    <row r="79" spans="1:27" x14ac:dyDescent="0.35">
      <c r="A79">
        <v>2585</v>
      </c>
      <c r="B79">
        <v>0</v>
      </c>
      <c r="C79" s="1">
        <v>31412</v>
      </c>
      <c r="D79">
        <v>1</v>
      </c>
      <c r="E79" t="s">
        <v>20</v>
      </c>
      <c r="F79" t="s">
        <v>68</v>
      </c>
      <c r="G79" s="1">
        <v>31412</v>
      </c>
      <c r="H79" s="2">
        <v>9293.7099999999991</v>
      </c>
      <c r="I79" s="2">
        <f t="shared" si="1"/>
        <v>-9292.7099999999991</v>
      </c>
      <c r="J79">
        <v>1</v>
      </c>
      <c r="K79" t="s">
        <v>23</v>
      </c>
      <c r="L79">
        <v>10700040</v>
      </c>
      <c r="M79" t="s">
        <v>65</v>
      </c>
      <c r="N79">
        <v>33000</v>
      </c>
      <c r="O79" t="s">
        <v>30</v>
      </c>
      <c r="P79" t="s">
        <v>527</v>
      </c>
      <c r="Q79" t="s">
        <v>31</v>
      </c>
      <c r="R79">
        <v>164500</v>
      </c>
      <c r="S79" t="s">
        <v>63</v>
      </c>
      <c r="T79">
        <v>1</v>
      </c>
      <c r="U79">
        <v>0</v>
      </c>
      <c r="V79">
        <v>0</v>
      </c>
      <c r="W79">
        <v>0</v>
      </c>
      <c r="X79">
        <v>0</v>
      </c>
      <c r="Y79" s="2">
        <v>-9353.5499999999993</v>
      </c>
      <c r="Z79" s="2">
        <v>9354.5499999999993</v>
      </c>
      <c r="AA79">
        <v>0</v>
      </c>
    </row>
    <row r="80" spans="1:27" x14ac:dyDescent="0.35">
      <c r="A80">
        <v>2586</v>
      </c>
      <c r="B80">
        <v>0</v>
      </c>
      <c r="C80" s="1">
        <v>31412</v>
      </c>
      <c r="D80">
        <v>1</v>
      </c>
      <c r="E80" t="s">
        <v>20</v>
      </c>
      <c r="F80" t="s">
        <v>69</v>
      </c>
      <c r="G80" s="1">
        <v>31412</v>
      </c>
      <c r="H80" s="2">
        <v>9293.7099999999991</v>
      </c>
      <c r="I80" s="2">
        <f t="shared" si="1"/>
        <v>-9292.7099999999991</v>
      </c>
      <c r="J80">
        <v>1</v>
      </c>
      <c r="K80" t="s">
        <v>23</v>
      </c>
      <c r="L80">
        <v>10700040</v>
      </c>
      <c r="M80" t="s">
        <v>65</v>
      </c>
      <c r="N80">
        <v>33000</v>
      </c>
      <c r="O80" t="s">
        <v>30</v>
      </c>
      <c r="P80" t="s">
        <v>527</v>
      </c>
      <c r="Q80" t="s">
        <v>31</v>
      </c>
      <c r="R80">
        <v>164500</v>
      </c>
      <c r="S80" t="s">
        <v>63</v>
      </c>
      <c r="T80">
        <v>1</v>
      </c>
      <c r="U80">
        <v>0</v>
      </c>
      <c r="V80">
        <v>0</v>
      </c>
      <c r="W80">
        <v>0</v>
      </c>
      <c r="X80">
        <v>0</v>
      </c>
      <c r="Y80" s="2">
        <v>-34335.089999999997</v>
      </c>
      <c r="Z80" s="2">
        <v>34336.089999999997</v>
      </c>
      <c r="AA80">
        <v>0</v>
      </c>
    </row>
    <row r="81" spans="1:27" x14ac:dyDescent="0.35">
      <c r="A81">
        <v>2587</v>
      </c>
      <c r="B81">
        <v>0</v>
      </c>
      <c r="C81" s="1">
        <v>31412</v>
      </c>
      <c r="D81">
        <v>1</v>
      </c>
      <c r="E81" t="s">
        <v>20</v>
      </c>
      <c r="F81" t="s">
        <v>70</v>
      </c>
      <c r="G81" s="1">
        <v>31412</v>
      </c>
      <c r="H81" s="2">
        <v>9293.7199999999993</v>
      </c>
      <c r="I81" s="2">
        <f t="shared" si="1"/>
        <v>-9292.7199999999993</v>
      </c>
      <c r="J81">
        <v>1</v>
      </c>
      <c r="K81" t="s">
        <v>23</v>
      </c>
      <c r="L81">
        <v>10700040</v>
      </c>
      <c r="M81" t="s">
        <v>65</v>
      </c>
      <c r="N81">
        <v>33000</v>
      </c>
      <c r="O81" t="s">
        <v>30</v>
      </c>
      <c r="P81" t="s">
        <v>527</v>
      </c>
      <c r="Q81" t="s">
        <v>31</v>
      </c>
      <c r="R81">
        <v>164500</v>
      </c>
      <c r="S81" t="s">
        <v>63</v>
      </c>
      <c r="T81">
        <v>1</v>
      </c>
      <c r="U81">
        <v>0</v>
      </c>
      <c r="V81">
        <v>0</v>
      </c>
      <c r="W81">
        <v>0</v>
      </c>
      <c r="X81">
        <v>0</v>
      </c>
      <c r="Y81" s="2">
        <v>-251862.64</v>
      </c>
      <c r="Z81" s="2">
        <v>251863.64</v>
      </c>
      <c r="AA81">
        <v>0</v>
      </c>
    </row>
    <row r="82" spans="1:27" x14ac:dyDescent="0.35">
      <c r="A82">
        <v>2588</v>
      </c>
      <c r="B82">
        <v>0</v>
      </c>
      <c r="C82" s="1">
        <v>31412</v>
      </c>
      <c r="D82">
        <v>1</v>
      </c>
      <c r="E82" t="s">
        <v>20</v>
      </c>
      <c r="F82" t="s">
        <v>71</v>
      </c>
      <c r="G82" s="1">
        <v>31412</v>
      </c>
      <c r="H82" s="2">
        <v>9293.7099999999991</v>
      </c>
      <c r="I82" s="2">
        <f t="shared" si="1"/>
        <v>-9292.7099999999991</v>
      </c>
      <c r="J82">
        <v>1</v>
      </c>
      <c r="K82" t="s">
        <v>23</v>
      </c>
      <c r="L82">
        <v>10700040</v>
      </c>
      <c r="M82" t="s">
        <v>65</v>
      </c>
      <c r="N82">
        <v>33000</v>
      </c>
      <c r="O82" t="s">
        <v>30</v>
      </c>
      <c r="P82" t="s">
        <v>527</v>
      </c>
      <c r="Q82" t="s">
        <v>31</v>
      </c>
      <c r="R82">
        <v>164500</v>
      </c>
      <c r="S82" t="s">
        <v>63</v>
      </c>
      <c r="T82">
        <v>1</v>
      </c>
      <c r="U82">
        <v>0</v>
      </c>
      <c r="V82">
        <v>0</v>
      </c>
      <c r="W82">
        <v>0</v>
      </c>
      <c r="X82">
        <v>0</v>
      </c>
      <c r="Y82" s="2">
        <v>-22703.54</v>
      </c>
      <c r="Z82" s="2">
        <v>22704.54</v>
      </c>
      <c r="AA82">
        <v>0</v>
      </c>
    </row>
    <row r="83" spans="1:27" x14ac:dyDescent="0.35">
      <c r="A83">
        <v>2589</v>
      </c>
      <c r="B83">
        <v>0</v>
      </c>
      <c r="C83" s="1">
        <v>31412</v>
      </c>
      <c r="D83">
        <v>1</v>
      </c>
      <c r="E83" t="s">
        <v>20</v>
      </c>
      <c r="F83" t="s">
        <v>72</v>
      </c>
      <c r="G83" s="1">
        <v>31412</v>
      </c>
      <c r="H83" s="2">
        <v>9293.7099999999991</v>
      </c>
      <c r="I83" s="2">
        <f t="shared" si="1"/>
        <v>-9292.7099999999991</v>
      </c>
      <c r="J83">
        <v>1</v>
      </c>
      <c r="K83" t="s">
        <v>23</v>
      </c>
      <c r="L83">
        <v>10700040</v>
      </c>
      <c r="M83" t="s">
        <v>65</v>
      </c>
      <c r="N83">
        <v>33000</v>
      </c>
      <c r="O83" t="s">
        <v>30</v>
      </c>
      <c r="P83" t="s">
        <v>527</v>
      </c>
      <c r="Q83" t="s">
        <v>31</v>
      </c>
      <c r="R83">
        <v>164500</v>
      </c>
      <c r="S83" t="s">
        <v>63</v>
      </c>
      <c r="T83">
        <v>1</v>
      </c>
      <c r="U83">
        <v>0</v>
      </c>
      <c r="V83">
        <v>0</v>
      </c>
      <c r="W83">
        <v>0</v>
      </c>
      <c r="X83">
        <v>0</v>
      </c>
      <c r="Y83" s="2">
        <v>-22703.54</v>
      </c>
      <c r="Z83" s="2">
        <v>22704.54</v>
      </c>
      <c r="AA83">
        <v>0</v>
      </c>
    </row>
    <row r="84" spans="1:27" x14ac:dyDescent="0.35">
      <c r="A84">
        <v>2583</v>
      </c>
      <c r="B84">
        <v>0</v>
      </c>
      <c r="C84" s="1">
        <v>31616</v>
      </c>
      <c r="D84">
        <v>4</v>
      </c>
      <c r="E84" t="s">
        <v>20</v>
      </c>
      <c r="F84" t="s">
        <v>74</v>
      </c>
      <c r="G84" s="1">
        <v>31616</v>
      </c>
      <c r="H84" s="2">
        <v>9628.9699999999993</v>
      </c>
      <c r="I84" s="2">
        <f t="shared" si="1"/>
        <v>-9627.9699999999993</v>
      </c>
      <c r="J84">
        <v>1</v>
      </c>
      <c r="K84" t="s">
        <v>23</v>
      </c>
      <c r="L84">
        <v>10700040</v>
      </c>
      <c r="M84" t="s">
        <v>65</v>
      </c>
      <c r="N84">
        <v>33000</v>
      </c>
      <c r="O84" t="s">
        <v>30</v>
      </c>
      <c r="P84" t="s">
        <v>527</v>
      </c>
      <c r="Q84" t="s">
        <v>31</v>
      </c>
      <c r="R84">
        <v>164500</v>
      </c>
      <c r="S84" t="s">
        <v>63</v>
      </c>
      <c r="T84">
        <v>1</v>
      </c>
      <c r="U84">
        <v>0</v>
      </c>
      <c r="V84">
        <v>0</v>
      </c>
      <c r="W84">
        <v>0</v>
      </c>
      <c r="X84">
        <v>0</v>
      </c>
      <c r="Y84" s="2">
        <v>-18453.54</v>
      </c>
      <c r="Z84" s="2">
        <v>18454.54</v>
      </c>
      <c r="AA84">
        <v>0</v>
      </c>
    </row>
    <row r="85" spans="1:27" x14ac:dyDescent="0.35">
      <c r="A85">
        <v>2584</v>
      </c>
      <c r="B85">
        <v>0</v>
      </c>
      <c r="C85" s="1">
        <v>31616</v>
      </c>
      <c r="D85">
        <v>1</v>
      </c>
      <c r="E85" t="s">
        <v>20</v>
      </c>
      <c r="F85" t="s">
        <v>75</v>
      </c>
      <c r="G85" s="1">
        <v>31616</v>
      </c>
      <c r="H85" s="2">
        <v>6768.15</v>
      </c>
      <c r="I85" s="2">
        <f t="shared" si="1"/>
        <v>-6767.15</v>
      </c>
      <c r="J85">
        <v>1</v>
      </c>
      <c r="K85" t="s">
        <v>23</v>
      </c>
      <c r="L85">
        <v>10700040</v>
      </c>
      <c r="M85" t="s">
        <v>65</v>
      </c>
      <c r="N85">
        <v>33000</v>
      </c>
      <c r="O85" t="s">
        <v>30</v>
      </c>
      <c r="P85" t="s">
        <v>527</v>
      </c>
      <c r="Q85" t="s">
        <v>31</v>
      </c>
      <c r="R85">
        <v>164500</v>
      </c>
      <c r="S85" t="s">
        <v>63</v>
      </c>
      <c r="T85">
        <v>1</v>
      </c>
      <c r="U85">
        <v>0</v>
      </c>
      <c r="V85">
        <v>0</v>
      </c>
      <c r="W85">
        <v>0</v>
      </c>
      <c r="X85">
        <v>0</v>
      </c>
      <c r="Y85" s="2">
        <v>-20685.36</v>
      </c>
      <c r="Z85" s="2">
        <v>20686.36</v>
      </c>
      <c r="AA85">
        <v>0</v>
      </c>
    </row>
    <row r="86" spans="1:27" x14ac:dyDescent="0.35">
      <c r="A86">
        <v>2582</v>
      </c>
      <c r="B86">
        <v>0</v>
      </c>
      <c r="C86" s="1">
        <v>31643</v>
      </c>
      <c r="D86">
        <v>2</v>
      </c>
      <c r="E86" t="s">
        <v>20</v>
      </c>
      <c r="F86" t="s">
        <v>77</v>
      </c>
      <c r="G86" s="1">
        <v>31643</v>
      </c>
      <c r="H86" s="2">
        <v>8218.7999999999993</v>
      </c>
      <c r="I86" s="2">
        <f t="shared" si="1"/>
        <v>-8217.7999999999993</v>
      </c>
      <c r="J86">
        <v>1</v>
      </c>
      <c r="K86" t="s">
        <v>23</v>
      </c>
      <c r="L86">
        <v>10700040</v>
      </c>
      <c r="M86" t="s">
        <v>65</v>
      </c>
      <c r="N86">
        <v>33000</v>
      </c>
      <c r="O86" t="s">
        <v>30</v>
      </c>
      <c r="P86" t="s">
        <v>527</v>
      </c>
      <c r="Q86" t="s">
        <v>31</v>
      </c>
      <c r="R86">
        <v>164500</v>
      </c>
      <c r="S86" t="s">
        <v>63</v>
      </c>
      <c r="T86">
        <v>1</v>
      </c>
      <c r="U86">
        <v>0</v>
      </c>
      <c r="V86">
        <v>0</v>
      </c>
      <c r="W86">
        <v>0</v>
      </c>
      <c r="X86">
        <v>0</v>
      </c>
      <c r="Y86" s="2">
        <v>-153818.13</v>
      </c>
      <c r="Z86" s="2">
        <v>153819.13</v>
      </c>
      <c r="AA86">
        <v>0</v>
      </c>
    </row>
    <row r="87" spans="1:27" x14ac:dyDescent="0.35">
      <c r="A87">
        <v>2668</v>
      </c>
      <c r="B87">
        <v>0</v>
      </c>
      <c r="C87" s="1">
        <v>31694</v>
      </c>
      <c r="D87">
        <v>2</v>
      </c>
      <c r="E87" t="s">
        <v>20</v>
      </c>
      <c r="F87" t="s">
        <v>79</v>
      </c>
      <c r="G87" s="1">
        <v>31694</v>
      </c>
      <c r="H87" s="2">
        <v>8809.0400000000009</v>
      </c>
      <c r="I87" s="2">
        <f t="shared" si="1"/>
        <v>-8808.0400000000009</v>
      </c>
      <c r="J87">
        <v>1</v>
      </c>
      <c r="K87" t="s">
        <v>23</v>
      </c>
      <c r="L87">
        <v>30700040</v>
      </c>
      <c r="M87" t="s">
        <v>62</v>
      </c>
      <c r="N87">
        <v>33000</v>
      </c>
      <c r="O87" t="s">
        <v>30</v>
      </c>
      <c r="P87" t="s">
        <v>527</v>
      </c>
      <c r="Q87" t="s">
        <v>31</v>
      </c>
      <c r="R87">
        <v>164500</v>
      </c>
      <c r="S87" t="s">
        <v>63</v>
      </c>
      <c r="T87">
        <v>1</v>
      </c>
      <c r="U87">
        <v>0</v>
      </c>
      <c r="V87">
        <v>0</v>
      </c>
      <c r="W87">
        <v>0</v>
      </c>
      <c r="X87">
        <v>0</v>
      </c>
      <c r="Y87" s="2">
        <v>-170192.63</v>
      </c>
      <c r="Z87" s="2">
        <v>170193.63</v>
      </c>
      <c r="AA87">
        <v>0</v>
      </c>
    </row>
    <row r="88" spans="1:27" x14ac:dyDescent="0.35">
      <c r="A88">
        <v>2581</v>
      </c>
      <c r="B88">
        <v>0</v>
      </c>
      <c r="C88" s="1">
        <v>31797</v>
      </c>
      <c r="D88">
        <v>2</v>
      </c>
      <c r="E88" t="s">
        <v>20</v>
      </c>
      <c r="F88" t="s">
        <v>83</v>
      </c>
      <c r="G88" s="1">
        <v>31797</v>
      </c>
      <c r="H88" s="2">
        <v>71442</v>
      </c>
      <c r="I88" s="2">
        <f t="shared" si="1"/>
        <v>-71441</v>
      </c>
      <c r="J88">
        <v>1</v>
      </c>
      <c r="K88" t="s">
        <v>23</v>
      </c>
      <c r="L88">
        <v>10700040</v>
      </c>
      <c r="M88" t="s">
        <v>65</v>
      </c>
      <c r="N88">
        <v>33000</v>
      </c>
      <c r="O88" t="s">
        <v>30</v>
      </c>
      <c r="P88" t="s">
        <v>527</v>
      </c>
      <c r="Q88" t="s">
        <v>31</v>
      </c>
      <c r="R88">
        <v>164500</v>
      </c>
      <c r="S88" t="s">
        <v>63</v>
      </c>
      <c r="T88">
        <v>1</v>
      </c>
      <c r="U88">
        <v>0</v>
      </c>
      <c r="V88">
        <v>0</v>
      </c>
      <c r="W88">
        <v>0</v>
      </c>
      <c r="X88">
        <v>0</v>
      </c>
      <c r="Y88" s="2">
        <v>-22287.99</v>
      </c>
      <c r="Z88" s="2">
        <v>22288.99</v>
      </c>
      <c r="AA88">
        <v>0</v>
      </c>
    </row>
    <row r="89" spans="1:27" x14ac:dyDescent="0.35">
      <c r="A89">
        <v>2580</v>
      </c>
      <c r="B89">
        <v>0</v>
      </c>
      <c r="C89" s="1">
        <v>31805</v>
      </c>
      <c r="D89">
        <v>2</v>
      </c>
      <c r="E89" t="s">
        <v>20</v>
      </c>
      <c r="F89" t="s">
        <v>55</v>
      </c>
      <c r="G89" s="1">
        <v>31805</v>
      </c>
      <c r="H89" s="2">
        <v>37467.360000000001</v>
      </c>
      <c r="I89" s="2">
        <f t="shared" si="1"/>
        <v>-37466.36</v>
      </c>
      <c r="J89">
        <v>1</v>
      </c>
      <c r="K89" t="s">
        <v>23</v>
      </c>
      <c r="L89">
        <v>10700040</v>
      </c>
      <c r="M89" t="s">
        <v>65</v>
      </c>
      <c r="N89">
        <v>33000</v>
      </c>
      <c r="O89" t="s">
        <v>30</v>
      </c>
      <c r="P89" t="s">
        <v>527</v>
      </c>
      <c r="Q89" t="s">
        <v>31</v>
      </c>
      <c r="R89">
        <v>164500</v>
      </c>
      <c r="S89" t="s">
        <v>63</v>
      </c>
      <c r="T89">
        <v>1</v>
      </c>
      <c r="U89">
        <v>0</v>
      </c>
      <c r="V89">
        <v>0</v>
      </c>
      <c r="W89">
        <v>0</v>
      </c>
      <c r="X89">
        <v>0</v>
      </c>
      <c r="Y89" s="2">
        <v>-37477.21</v>
      </c>
      <c r="Z89" s="2">
        <v>37478.21</v>
      </c>
      <c r="AA89">
        <v>0</v>
      </c>
    </row>
    <row r="90" spans="1:27" x14ac:dyDescent="0.35">
      <c r="A90">
        <v>2579</v>
      </c>
      <c r="B90">
        <v>0</v>
      </c>
      <c r="C90" s="1">
        <v>31931</v>
      </c>
      <c r="D90">
        <v>1</v>
      </c>
      <c r="E90" t="s">
        <v>20</v>
      </c>
      <c r="F90" t="s">
        <v>86</v>
      </c>
      <c r="G90" s="1">
        <v>31931</v>
      </c>
      <c r="H90" s="2">
        <v>2700</v>
      </c>
      <c r="I90" s="2">
        <f t="shared" si="1"/>
        <v>-2699</v>
      </c>
      <c r="J90">
        <v>1</v>
      </c>
      <c r="K90" t="s">
        <v>23</v>
      </c>
      <c r="L90">
        <v>10700040</v>
      </c>
      <c r="M90" t="s">
        <v>65</v>
      </c>
      <c r="N90">
        <v>33000</v>
      </c>
      <c r="O90" t="s">
        <v>30</v>
      </c>
      <c r="P90" t="s">
        <v>527</v>
      </c>
      <c r="Q90" t="s">
        <v>31</v>
      </c>
      <c r="R90">
        <v>164500</v>
      </c>
      <c r="S90" t="s">
        <v>63</v>
      </c>
      <c r="T90">
        <v>1</v>
      </c>
      <c r="U90">
        <v>0</v>
      </c>
      <c r="V90">
        <v>0</v>
      </c>
      <c r="W90">
        <v>0</v>
      </c>
      <c r="X90">
        <v>0</v>
      </c>
      <c r="Y90" s="2">
        <v>-262526.86</v>
      </c>
      <c r="Z90" s="2">
        <v>262527.86</v>
      </c>
      <c r="AA90">
        <v>0</v>
      </c>
    </row>
    <row r="91" spans="1:27" x14ac:dyDescent="0.35">
      <c r="A91">
        <v>2578</v>
      </c>
      <c r="B91">
        <v>0</v>
      </c>
      <c r="C91" s="1">
        <v>31935</v>
      </c>
      <c r="D91">
        <v>1</v>
      </c>
      <c r="E91" t="s">
        <v>20</v>
      </c>
      <c r="F91" t="s">
        <v>87</v>
      </c>
      <c r="G91" s="1">
        <v>31935</v>
      </c>
      <c r="H91" s="2">
        <v>2350</v>
      </c>
      <c r="I91" s="2">
        <f t="shared" si="1"/>
        <v>-2349</v>
      </c>
      <c r="J91">
        <v>1</v>
      </c>
      <c r="K91" t="s">
        <v>23</v>
      </c>
      <c r="L91">
        <v>10700040</v>
      </c>
      <c r="M91" t="s">
        <v>65</v>
      </c>
      <c r="N91">
        <v>33000</v>
      </c>
      <c r="O91" t="s">
        <v>30</v>
      </c>
      <c r="P91" t="s">
        <v>527</v>
      </c>
      <c r="Q91" t="s">
        <v>31</v>
      </c>
      <c r="R91">
        <v>164500</v>
      </c>
      <c r="S91" t="s">
        <v>63</v>
      </c>
      <c r="T91">
        <v>1</v>
      </c>
      <c r="U91">
        <v>0</v>
      </c>
      <c r="V91">
        <v>0</v>
      </c>
      <c r="W91">
        <v>0</v>
      </c>
      <c r="X91">
        <v>0</v>
      </c>
      <c r="Y91" s="2">
        <v>-85387.199999999997</v>
      </c>
      <c r="Z91" s="2">
        <v>85388.2</v>
      </c>
      <c r="AA91">
        <v>0</v>
      </c>
    </row>
    <row r="92" spans="1:27" x14ac:dyDescent="0.35">
      <c r="A92">
        <v>2577</v>
      </c>
      <c r="B92">
        <v>0</v>
      </c>
      <c r="C92" s="1">
        <v>31961</v>
      </c>
      <c r="D92">
        <v>1</v>
      </c>
      <c r="E92" t="s">
        <v>20</v>
      </c>
      <c r="F92" t="s">
        <v>89</v>
      </c>
      <c r="G92" s="1">
        <v>31961</v>
      </c>
      <c r="H92" s="2">
        <v>9144.3799999999992</v>
      </c>
      <c r="I92" s="2">
        <f t="shared" si="1"/>
        <v>-9143.3799999999992</v>
      </c>
      <c r="J92">
        <v>1</v>
      </c>
      <c r="K92" t="s">
        <v>23</v>
      </c>
      <c r="L92">
        <v>10700040</v>
      </c>
      <c r="M92" t="s">
        <v>65</v>
      </c>
      <c r="N92">
        <v>33000</v>
      </c>
      <c r="O92" t="s">
        <v>30</v>
      </c>
      <c r="P92" t="s">
        <v>527</v>
      </c>
      <c r="Q92" t="s">
        <v>31</v>
      </c>
      <c r="R92">
        <v>164500</v>
      </c>
      <c r="S92" t="s">
        <v>63</v>
      </c>
      <c r="T92">
        <v>1</v>
      </c>
      <c r="U92">
        <v>0</v>
      </c>
      <c r="V92">
        <v>0</v>
      </c>
      <c r="W92">
        <v>0</v>
      </c>
      <c r="X92">
        <v>0</v>
      </c>
      <c r="Y92" s="2">
        <v>-6476.14</v>
      </c>
      <c r="Z92" s="2">
        <v>6477.14</v>
      </c>
      <c r="AA92">
        <v>0</v>
      </c>
    </row>
    <row r="93" spans="1:27" x14ac:dyDescent="0.35">
      <c r="A93">
        <v>2576</v>
      </c>
      <c r="B93">
        <v>0</v>
      </c>
      <c r="C93" s="1">
        <v>32071</v>
      </c>
      <c r="D93">
        <v>1</v>
      </c>
      <c r="E93" t="s">
        <v>20</v>
      </c>
      <c r="F93" t="s">
        <v>91</v>
      </c>
      <c r="G93" s="1">
        <v>32071</v>
      </c>
      <c r="H93" s="2">
        <v>25175</v>
      </c>
      <c r="I93" s="2">
        <f t="shared" si="1"/>
        <v>-25174</v>
      </c>
      <c r="J93">
        <v>1</v>
      </c>
      <c r="K93" t="s">
        <v>23</v>
      </c>
      <c r="L93">
        <v>10700040</v>
      </c>
      <c r="M93" t="s">
        <v>65</v>
      </c>
      <c r="N93">
        <v>33000</v>
      </c>
      <c r="O93" t="s">
        <v>30</v>
      </c>
      <c r="P93" t="s">
        <v>527</v>
      </c>
      <c r="Q93" t="s">
        <v>31</v>
      </c>
      <c r="R93">
        <v>164500</v>
      </c>
      <c r="S93" t="s">
        <v>63</v>
      </c>
      <c r="T93">
        <v>1</v>
      </c>
      <c r="U93">
        <v>0</v>
      </c>
      <c r="V93">
        <v>0</v>
      </c>
      <c r="W93">
        <v>0</v>
      </c>
      <c r="X93">
        <v>0</v>
      </c>
      <c r="Y93" s="2">
        <v>-282780.92</v>
      </c>
      <c r="Z93" s="2">
        <v>282781.92</v>
      </c>
      <c r="AA93">
        <v>0</v>
      </c>
    </row>
    <row r="94" spans="1:27" x14ac:dyDescent="0.35">
      <c r="A94">
        <v>2575</v>
      </c>
      <c r="B94">
        <v>0</v>
      </c>
      <c r="C94" s="1">
        <v>32259</v>
      </c>
      <c r="D94">
        <v>4</v>
      </c>
      <c r="E94" t="s">
        <v>20</v>
      </c>
      <c r="F94" t="s">
        <v>93</v>
      </c>
      <c r="G94" s="1">
        <v>32259</v>
      </c>
      <c r="H94" s="2">
        <v>8640</v>
      </c>
      <c r="I94" s="2">
        <f t="shared" si="1"/>
        <v>-8639</v>
      </c>
      <c r="J94">
        <v>1</v>
      </c>
      <c r="K94" t="s">
        <v>23</v>
      </c>
      <c r="L94">
        <v>10700040</v>
      </c>
      <c r="M94" t="s">
        <v>65</v>
      </c>
      <c r="N94">
        <v>33000</v>
      </c>
      <c r="O94" t="s">
        <v>30</v>
      </c>
      <c r="P94" t="s">
        <v>527</v>
      </c>
      <c r="Q94" t="s">
        <v>31</v>
      </c>
      <c r="R94">
        <v>164500</v>
      </c>
      <c r="S94" t="s">
        <v>63</v>
      </c>
      <c r="T94">
        <v>1</v>
      </c>
      <c r="U94">
        <v>0</v>
      </c>
      <c r="V94">
        <v>0</v>
      </c>
      <c r="W94">
        <v>0</v>
      </c>
      <c r="X94">
        <v>0</v>
      </c>
      <c r="Y94" s="2">
        <v>-19635.36</v>
      </c>
      <c r="Z94" s="2">
        <v>19636.36</v>
      </c>
      <c r="AA94">
        <v>0</v>
      </c>
    </row>
    <row r="95" spans="1:27" x14ac:dyDescent="0.35">
      <c r="A95">
        <v>2574</v>
      </c>
      <c r="B95">
        <v>0</v>
      </c>
      <c r="C95" s="1">
        <v>32263</v>
      </c>
      <c r="D95">
        <v>1</v>
      </c>
      <c r="E95" t="s">
        <v>20</v>
      </c>
      <c r="F95" t="s">
        <v>94</v>
      </c>
      <c r="G95" s="1">
        <v>32263</v>
      </c>
      <c r="H95" s="2">
        <v>195951.73</v>
      </c>
      <c r="I95" s="2">
        <f t="shared" si="1"/>
        <v>-195950.73</v>
      </c>
      <c r="J95">
        <v>1</v>
      </c>
      <c r="K95" t="s">
        <v>23</v>
      </c>
      <c r="L95">
        <v>10700040</v>
      </c>
      <c r="M95" t="s">
        <v>65</v>
      </c>
      <c r="N95">
        <v>33000</v>
      </c>
      <c r="O95" t="s">
        <v>30</v>
      </c>
      <c r="P95" t="s">
        <v>527</v>
      </c>
      <c r="Q95" t="s">
        <v>31</v>
      </c>
      <c r="R95">
        <v>164500</v>
      </c>
      <c r="S95" t="s">
        <v>63</v>
      </c>
      <c r="T95">
        <v>1</v>
      </c>
      <c r="U95">
        <v>0</v>
      </c>
      <c r="V95">
        <v>0</v>
      </c>
      <c r="W95">
        <v>0</v>
      </c>
      <c r="X95">
        <v>0</v>
      </c>
      <c r="Y95" s="2">
        <v>-10839.91</v>
      </c>
      <c r="Z95" s="2">
        <v>10840.91</v>
      </c>
      <c r="AA95">
        <v>0</v>
      </c>
    </row>
    <row r="96" spans="1:27" x14ac:dyDescent="0.35">
      <c r="A96">
        <v>2573</v>
      </c>
      <c r="B96">
        <v>0</v>
      </c>
      <c r="C96" s="1">
        <v>32308</v>
      </c>
      <c r="D96">
        <v>2</v>
      </c>
      <c r="E96" t="s">
        <v>20</v>
      </c>
      <c r="F96" t="s">
        <v>95</v>
      </c>
      <c r="G96" s="1">
        <v>32308</v>
      </c>
      <c r="H96" s="2">
        <v>14590.8</v>
      </c>
      <c r="I96" s="2">
        <f t="shared" si="1"/>
        <v>-14589.8</v>
      </c>
      <c r="J96">
        <v>1</v>
      </c>
      <c r="K96" t="s">
        <v>23</v>
      </c>
      <c r="L96">
        <v>10700040</v>
      </c>
      <c r="M96" t="s">
        <v>65</v>
      </c>
      <c r="N96">
        <v>33000</v>
      </c>
      <c r="O96" t="s">
        <v>30</v>
      </c>
      <c r="P96" t="s">
        <v>527</v>
      </c>
      <c r="Q96" t="s">
        <v>31</v>
      </c>
      <c r="R96">
        <v>164500</v>
      </c>
      <c r="S96" t="s">
        <v>63</v>
      </c>
      <c r="T96">
        <v>1</v>
      </c>
      <c r="U96">
        <v>0</v>
      </c>
      <c r="V96">
        <v>0</v>
      </c>
      <c r="W96">
        <v>0</v>
      </c>
      <c r="X96">
        <v>0</v>
      </c>
      <c r="Y96" s="2">
        <v>-19317.18</v>
      </c>
      <c r="Z96" s="2">
        <v>19318.18</v>
      </c>
      <c r="AA96">
        <v>0</v>
      </c>
    </row>
    <row r="97" spans="1:27" x14ac:dyDescent="0.35">
      <c r="A97">
        <v>2572</v>
      </c>
      <c r="B97">
        <v>0</v>
      </c>
      <c r="C97" s="1">
        <v>32354</v>
      </c>
      <c r="D97">
        <v>2</v>
      </c>
      <c r="E97" t="s">
        <v>20</v>
      </c>
      <c r="F97" t="s">
        <v>96</v>
      </c>
      <c r="G97" s="1">
        <v>32354</v>
      </c>
      <c r="H97" s="2">
        <v>5022.7299999999996</v>
      </c>
      <c r="I97" s="2">
        <f t="shared" si="1"/>
        <v>-5021.7299999999996</v>
      </c>
      <c r="J97">
        <v>1</v>
      </c>
      <c r="K97" t="s">
        <v>23</v>
      </c>
      <c r="L97">
        <v>10700040</v>
      </c>
      <c r="M97" t="s">
        <v>65</v>
      </c>
      <c r="N97">
        <v>33000</v>
      </c>
      <c r="O97" t="s">
        <v>30</v>
      </c>
      <c r="P97" t="s">
        <v>527</v>
      </c>
      <c r="Q97" t="s">
        <v>31</v>
      </c>
      <c r="R97">
        <v>164500</v>
      </c>
      <c r="S97" t="s">
        <v>63</v>
      </c>
      <c r="T97">
        <v>1</v>
      </c>
      <c r="U97">
        <v>0</v>
      </c>
      <c r="V97">
        <v>0</v>
      </c>
      <c r="W97">
        <v>0</v>
      </c>
      <c r="X97">
        <v>0</v>
      </c>
      <c r="Y97" s="2">
        <v>-102529.2</v>
      </c>
      <c r="Z97" s="2">
        <v>102530.2</v>
      </c>
      <c r="AA97">
        <v>0</v>
      </c>
    </row>
    <row r="98" spans="1:27" x14ac:dyDescent="0.35">
      <c r="A98">
        <v>2571</v>
      </c>
      <c r="B98">
        <v>0</v>
      </c>
      <c r="C98" s="1">
        <v>32385</v>
      </c>
      <c r="D98">
        <v>1</v>
      </c>
      <c r="E98" t="s">
        <v>20</v>
      </c>
      <c r="F98" t="s">
        <v>99</v>
      </c>
      <c r="G98" s="1">
        <v>32385</v>
      </c>
      <c r="H98" s="2">
        <v>206828.09</v>
      </c>
      <c r="I98" s="2">
        <f t="shared" si="1"/>
        <v>-206827.09</v>
      </c>
      <c r="J98">
        <v>1</v>
      </c>
      <c r="K98" t="s">
        <v>23</v>
      </c>
      <c r="L98">
        <v>10700040</v>
      </c>
      <c r="M98" t="s">
        <v>65</v>
      </c>
      <c r="N98">
        <v>33000</v>
      </c>
      <c r="O98" t="s">
        <v>30</v>
      </c>
      <c r="P98" t="s">
        <v>527</v>
      </c>
      <c r="Q98" t="s">
        <v>31</v>
      </c>
      <c r="R98">
        <v>164500</v>
      </c>
      <c r="S98" t="s">
        <v>63</v>
      </c>
      <c r="T98">
        <v>1</v>
      </c>
      <c r="U98">
        <v>0</v>
      </c>
      <c r="V98">
        <v>0</v>
      </c>
      <c r="W98">
        <v>0</v>
      </c>
      <c r="X98">
        <v>0</v>
      </c>
      <c r="Y98" s="2">
        <v>-18859.96</v>
      </c>
      <c r="Z98" s="2">
        <v>18860.96</v>
      </c>
      <c r="AA98">
        <v>0</v>
      </c>
    </row>
    <row r="99" spans="1:27" x14ac:dyDescent="0.35">
      <c r="A99">
        <v>2569</v>
      </c>
      <c r="B99">
        <v>0</v>
      </c>
      <c r="C99" s="1">
        <v>32393</v>
      </c>
      <c r="D99">
        <v>2</v>
      </c>
      <c r="E99" t="s">
        <v>20</v>
      </c>
      <c r="F99" t="s">
        <v>104</v>
      </c>
      <c r="G99" s="1">
        <v>32393</v>
      </c>
      <c r="H99" s="2">
        <v>18288.759999999998</v>
      </c>
      <c r="I99" s="2">
        <f t="shared" si="1"/>
        <v>-18287.759999999998</v>
      </c>
      <c r="J99">
        <v>1</v>
      </c>
      <c r="K99" t="s">
        <v>23</v>
      </c>
      <c r="L99">
        <v>10700040</v>
      </c>
      <c r="M99" t="s">
        <v>65</v>
      </c>
      <c r="N99">
        <v>33000</v>
      </c>
      <c r="O99" t="s">
        <v>30</v>
      </c>
      <c r="P99" t="s">
        <v>527</v>
      </c>
      <c r="Q99" t="s">
        <v>31</v>
      </c>
      <c r="R99">
        <v>164500</v>
      </c>
      <c r="S99" t="s">
        <v>63</v>
      </c>
      <c r="T99">
        <v>1</v>
      </c>
      <c r="U99">
        <v>0</v>
      </c>
      <c r="V99">
        <v>0</v>
      </c>
      <c r="W99">
        <v>0</v>
      </c>
      <c r="X99">
        <v>0</v>
      </c>
      <c r="Y99" s="2">
        <v>-18859.97</v>
      </c>
      <c r="Z99" s="2">
        <v>18860.97</v>
      </c>
      <c r="AA99">
        <v>0</v>
      </c>
    </row>
    <row r="100" spans="1:27" x14ac:dyDescent="0.35">
      <c r="A100">
        <v>2570</v>
      </c>
      <c r="B100">
        <v>0</v>
      </c>
      <c r="C100" s="1">
        <v>32393</v>
      </c>
      <c r="D100">
        <v>1</v>
      </c>
      <c r="E100" t="s">
        <v>20</v>
      </c>
      <c r="F100" t="s">
        <v>58</v>
      </c>
      <c r="G100" s="1">
        <v>32393</v>
      </c>
      <c r="H100" s="2">
        <v>18733.68</v>
      </c>
      <c r="I100" s="2">
        <f t="shared" si="1"/>
        <v>-18732.68</v>
      </c>
      <c r="J100">
        <v>1</v>
      </c>
      <c r="K100" t="s">
        <v>23</v>
      </c>
      <c r="L100">
        <v>10700040</v>
      </c>
      <c r="M100" t="s">
        <v>65</v>
      </c>
      <c r="N100">
        <v>33000</v>
      </c>
      <c r="O100" t="s">
        <v>30</v>
      </c>
      <c r="P100" t="s">
        <v>527</v>
      </c>
      <c r="Q100" t="s">
        <v>31</v>
      </c>
      <c r="R100">
        <v>164500</v>
      </c>
      <c r="S100" t="s">
        <v>63</v>
      </c>
      <c r="T100">
        <v>1</v>
      </c>
      <c r="U100">
        <v>0</v>
      </c>
      <c r="V100">
        <v>0</v>
      </c>
      <c r="W100">
        <v>0</v>
      </c>
      <c r="X100">
        <v>0</v>
      </c>
      <c r="Y100" s="2">
        <v>-12672.64</v>
      </c>
      <c r="Z100" s="2">
        <v>12673.64</v>
      </c>
      <c r="AA100">
        <v>0</v>
      </c>
    </row>
    <row r="101" spans="1:27" x14ac:dyDescent="0.35">
      <c r="A101">
        <v>2568</v>
      </c>
      <c r="B101">
        <v>0</v>
      </c>
      <c r="C101" s="1">
        <v>32402</v>
      </c>
      <c r="D101">
        <v>2</v>
      </c>
      <c r="E101" t="s">
        <v>20</v>
      </c>
      <c r="F101" t="s">
        <v>105</v>
      </c>
      <c r="G101" s="1">
        <v>32402</v>
      </c>
      <c r="H101" s="2">
        <v>8920.7999999999993</v>
      </c>
      <c r="I101" s="2">
        <f t="shared" si="1"/>
        <v>-8919.7999999999993</v>
      </c>
      <c r="J101">
        <v>1</v>
      </c>
      <c r="K101" t="s">
        <v>23</v>
      </c>
      <c r="L101">
        <v>10700040</v>
      </c>
      <c r="M101" t="s">
        <v>65</v>
      </c>
      <c r="N101">
        <v>33000</v>
      </c>
      <c r="O101" t="s">
        <v>30</v>
      </c>
      <c r="P101" t="s">
        <v>527</v>
      </c>
      <c r="Q101" t="s">
        <v>31</v>
      </c>
      <c r="R101">
        <v>164500</v>
      </c>
      <c r="S101" t="s">
        <v>63</v>
      </c>
      <c r="T101">
        <v>1</v>
      </c>
      <c r="U101">
        <v>0</v>
      </c>
      <c r="V101">
        <v>0</v>
      </c>
      <c r="W101">
        <v>0</v>
      </c>
      <c r="X101">
        <v>0</v>
      </c>
      <c r="Y101" s="2">
        <v>-7376.3</v>
      </c>
      <c r="Z101" s="2">
        <v>7377.3</v>
      </c>
      <c r="AA101">
        <v>0</v>
      </c>
    </row>
    <row r="102" spans="1:27" x14ac:dyDescent="0.35">
      <c r="A102">
        <v>2567</v>
      </c>
      <c r="B102">
        <v>0</v>
      </c>
      <c r="C102" s="1">
        <v>32422</v>
      </c>
      <c r="D102">
        <v>2</v>
      </c>
      <c r="E102" t="s">
        <v>20</v>
      </c>
      <c r="F102" t="s">
        <v>107</v>
      </c>
      <c r="G102" s="1">
        <v>32422</v>
      </c>
      <c r="H102" s="2">
        <v>98731.15</v>
      </c>
      <c r="I102" s="2">
        <f t="shared" si="1"/>
        <v>-98730.15</v>
      </c>
      <c r="J102">
        <v>1</v>
      </c>
      <c r="K102" t="s">
        <v>23</v>
      </c>
      <c r="L102">
        <v>10700040</v>
      </c>
      <c r="M102" t="s">
        <v>65</v>
      </c>
      <c r="N102">
        <v>33000</v>
      </c>
      <c r="O102" t="s">
        <v>30</v>
      </c>
      <c r="P102" t="s">
        <v>527</v>
      </c>
      <c r="Q102" t="s">
        <v>31</v>
      </c>
      <c r="R102">
        <v>164500</v>
      </c>
      <c r="S102" t="s">
        <v>63</v>
      </c>
      <c r="T102">
        <v>1</v>
      </c>
      <c r="U102">
        <v>0</v>
      </c>
      <c r="V102">
        <v>0</v>
      </c>
      <c r="W102">
        <v>0</v>
      </c>
      <c r="X102">
        <v>0</v>
      </c>
      <c r="Y102" s="2">
        <v>-6424.5</v>
      </c>
      <c r="Z102" s="2">
        <v>6425.5</v>
      </c>
      <c r="AA102">
        <v>0</v>
      </c>
    </row>
    <row r="103" spans="1:27" x14ac:dyDescent="0.35">
      <c r="A103">
        <v>2566</v>
      </c>
      <c r="B103">
        <v>0</v>
      </c>
      <c r="C103" s="1">
        <v>32477</v>
      </c>
      <c r="D103">
        <v>1</v>
      </c>
      <c r="E103" t="s">
        <v>20</v>
      </c>
      <c r="F103" t="s">
        <v>111</v>
      </c>
      <c r="G103" s="1">
        <v>32477</v>
      </c>
      <c r="H103" s="2">
        <v>10450.469999999999</v>
      </c>
      <c r="I103" s="2">
        <f t="shared" si="1"/>
        <v>-10449.469999999999</v>
      </c>
      <c r="J103">
        <v>1</v>
      </c>
      <c r="K103" t="s">
        <v>23</v>
      </c>
      <c r="L103">
        <v>10700040</v>
      </c>
      <c r="M103" t="s">
        <v>65</v>
      </c>
      <c r="N103">
        <v>33000</v>
      </c>
      <c r="O103" t="s">
        <v>30</v>
      </c>
      <c r="P103" t="s">
        <v>527</v>
      </c>
      <c r="Q103" t="s">
        <v>31</v>
      </c>
      <c r="R103">
        <v>164500</v>
      </c>
      <c r="S103" t="s">
        <v>63</v>
      </c>
      <c r="T103">
        <v>1</v>
      </c>
      <c r="U103">
        <v>0</v>
      </c>
      <c r="V103">
        <v>0</v>
      </c>
      <c r="W103">
        <v>0</v>
      </c>
      <c r="X103">
        <v>0</v>
      </c>
      <c r="Y103" s="2">
        <v>-18499</v>
      </c>
      <c r="Z103" s="2">
        <v>18500</v>
      </c>
      <c r="AA103">
        <v>0</v>
      </c>
    </row>
    <row r="104" spans="1:27" x14ac:dyDescent="0.35">
      <c r="A104">
        <v>2565</v>
      </c>
      <c r="B104">
        <v>0</v>
      </c>
      <c r="C104" s="1">
        <v>32508</v>
      </c>
      <c r="D104">
        <v>1</v>
      </c>
      <c r="E104" t="s">
        <v>20</v>
      </c>
      <c r="F104" t="s">
        <v>114</v>
      </c>
      <c r="G104" s="1">
        <v>32508</v>
      </c>
      <c r="H104" s="2">
        <v>12914</v>
      </c>
      <c r="I104" s="2">
        <f t="shared" si="1"/>
        <v>-12913</v>
      </c>
      <c r="J104">
        <v>1</v>
      </c>
      <c r="K104" t="s">
        <v>23</v>
      </c>
      <c r="L104">
        <v>10700040</v>
      </c>
      <c r="M104" t="s">
        <v>65</v>
      </c>
      <c r="N104">
        <v>33000</v>
      </c>
      <c r="O104" t="s">
        <v>30</v>
      </c>
      <c r="P104" t="s">
        <v>527</v>
      </c>
      <c r="Q104" t="s">
        <v>31</v>
      </c>
      <c r="R104">
        <v>164500</v>
      </c>
      <c r="S104" t="s">
        <v>63</v>
      </c>
      <c r="T104">
        <v>1</v>
      </c>
      <c r="U104">
        <v>0</v>
      </c>
      <c r="V104">
        <v>0</v>
      </c>
      <c r="W104">
        <v>0</v>
      </c>
      <c r="X104">
        <v>0</v>
      </c>
      <c r="Y104" s="2">
        <v>-36521.599999999999</v>
      </c>
      <c r="Z104" s="2">
        <v>36522.6</v>
      </c>
      <c r="AA104">
        <v>0</v>
      </c>
    </row>
    <row r="105" spans="1:27" x14ac:dyDescent="0.35">
      <c r="A105">
        <v>2563</v>
      </c>
      <c r="B105">
        <v>0</v>
      </c>
      <c r="C105" s="1">
        <v>32575</v>
      </c>
      <c r="D105">
        <v>1</v>
      </c>
      <c r="E105" t="s">
        <v>20</v>
      </c>
      <c r="F105" t="s">
        <v>115</v>
      </c>
      <c r="G105" s="1">
        <v>32575</v>
      </c>
      <c r="H105" s="2">
        <v>235692.65</v>
      </c>
      <c r="I105" s="2">
        <f t="shared" si="1"/>
        <v>-235691.65</v>
      </c>
      <c r="J105">
        <v>1</v>
      </c>
      <c r="K105" t="s">
        <v>23</v>
      </c>
      <c r="L105">
        <v>10700040</v>
      </c>
      <c r="M105" t="s">
        <v>65</v>
      </c>
      <c r="N105">
        <v>33000</v>
      </c>
      <c r="O105" t="s">
        <v>30</v>
      </c>
      <c r="P105" t="s">
        <v>527</v>
      </c>
      <c r="Q105" t="s">
        <v>31</v>
      </c>
      <c r="R105">
        <v>164500</v>
      </c>
      <c r="S105" t="s">
        <v>63</v>
      </c>
      <c r="T105">
        <v>1</v>
      </c>
      <c r="U105">
        <v>0</v>
      </c>
      <c r="V105">
        <v>0</v>
      </c>
      <c r="W105">
        <v>0</v>
      </c>
      <c r="X105">
        <v>0</v>
      </c>
      <c r="Y105" s="2">
        <v>-36521.599999999999</v>
      </c>
      <c r="Z105" s="2">
        <v>36522.6</v>
      </c>
      <c r="AA105">
        <v>0</v>
      </c>
    </row>
    <row r="106" spans="1:27" x14ac:dyDescent="0.35">
      <c r="A106">
        <v>2564</v>
      </c>
      <c r="B106">
        <v>0</v>
      </c>
      <c r="C106" s="1">
        <v>32575</v>
      </c>
      <c r="D106">
        <v>1</v>
      </c>
      <c r="E106" t="s">
        <v>20</v>
      </c>
      <c r="F106" t="s">
        <v>116</v>
      </c>
      <c r="G106" s="1">
        <v>32575</v>
      </c>
      <c r="H106" s="2">
        <v>99140.56</v>
      </c>
      <c r="I106" s="2">
        <f t="shared" si="1"/>
        <v>-99139.56</v>
      </c>
      <c r="J106">
        <v>1</v>
      </c>
      <c r="K106" t="s">
        <v>23</v>
      </c>
      <c r="L106">
        <v>10700040</v>
      </c>
      <c r="M106" t="s">
        <v>65</v>
      </c>
      <c r="N106">
        <v>33000</v>
      </c>
      <c r="O106" t="s">
        <v>30</v>
      </c>
      <c r="P106" t="s">
        <v>527</v>
      </c>
      <c r="Q106" t="s">
        <v>31</v>
      </c>
      <c r="R106">
        <v>164500</v>
      </c>
      <c r="S106" t="s">
        <v>63</v>
      </c>
      <c r="T106">
        <v>1</v>
      </c>
      <c r="U106">
        <v>0</v>
      </c>
      <c r="V106">
        <v>0</v>
      </c>
      <c r="W106">
        <v>0</v>
      </c>
      <c r="X106">
        <v>0</v>
      </c>
      <c r="Y106" s="2">
        <v>-41885.360000000001</v>
      </c>
      <c r="Z106" s="2">
        <v>41886.36</v>
      </c>
      <c r="AA106">
        <v>0</v>
      </c>
    </row>
    <row r="107" spans="1:27" x14ac:dyDescent="0.35">
      <c r="A107">
        <v>2559</v>
      </c>
      <c r="B107">
        <v>0</v>
      </c>
      <c r="C107" s="1">
        <v>32598</v>
      </c>
      <c r="D107">
        <v>1</v>
      </c>
      <c r="E107" t="s">
        <v>20</v>
      </c>
      <c r="F107" t="s">
        <v>117</v>
      </c>
      <c r="G107" s="1">
        <v>32598</v>
      </c>
      <c r="H107" s="2">
        <v>353961.33</v>
      </c>
      <c r="I107" s="2">
        <f t="shared" si="1"/>
        <v>-353960.33</v>
      </c>
      <c r="J107">
        <v>1</v>
      </c>
      <c r="K107" t="s">
        <v>23</v>
      </c>
      <c r="L107">
        <v>10700040</v>
      </c>
      <c r="M107" t="s">
        <v>65</v>
      </c>
      <c r="N107">
        <v>33000</v>
      </c>
      <c r="O107" t="s">
        <v>30</v>
      </c>
      <c r="P107" t="s">
        <v>527</v>
      </c>
      <c r="Q107" t="s">
        <v>31</v>
      </c>
      <c r="R107">
        <v>164500</v>
      </c>
      <c r="S107" t="s">
        <v>63</v>
      </c>
      <c r="T107">
        <v>1</v>
      </c>
      <c r="U107">
        <v>0</v>
      </c>
      <c r="V107">
        <v>0</v>
      </c>
      <c r="W107">
        <v>0</v>
      </c>
      <c r="X107">
        <v>0</v>
      </c>
      <c r="Y107" s="2">
        <v>-56310.12</v>
      </c>
      <c r="Z107" s="2">
        <v>56311.12</v>
      </c>
      <c r="AA107">
        <v>0</v>
      </c>
    </row>
    <row r="108" spans="1:27" x14ac:dyDescent="0.35">
      <c r="A108">
        <v>2560</v>
      </c>
      <c r="B108">
        <v>0</v>
      </c>
      <c r="C108" s="1">
        <v>32598</v>
      </c>
      <c r="D108">
        <v>1</v>
      </c>
      <c r="E108" t="s">
        <v>20</v>
      </c>
      <c r="F108" t="s">
        <v>118</v>
      </c>
      <c r="G108" s="1">
        <v>32598</v>
      </c>
      <c r="H108" s="2">
        <v>241726.73</v>
      </c>
      <c r="I108" s="2">
        <f t="shared" si="1"/>
        <v>-241725.73</v>
      </c>
      <c r="J108">
        <v>1</v>
      </c>
      <c r="K108" t="s">
        <v>23</v>
      </c>
      <c r="L108">
        <v>10700040</v>
      </c>
      <c r="M108" t="s">
        <v>65</v>
      </c>
      <c r="N108">
        <v>33000</v>
      </c>
      <c r="O108" t="s">
        <v>30</v>
      </c>
      <c r="P108" t="s">
        <v>527</v>
      </c>
      <c r="Q108" t="s">
        <v>31</v>
      </c>
      <c r="R108">
        <v>164500</v>
      </c>
      <c r="S108" t="s">
        <v>63</v>
      </c>
      <c r="T108">
        <v>1</v>
      </c>
      <c r="U108">
        <v>0</v>
      </c>
      <c r="V108">
        <v>0</v>
      </c>
      <c r="W108">
        <v>0</v>
      </c>
      <c r="X108">
        <v>0</v>
      </c>
      <c r="Y108" s="2">
        <v>-138319.73000000001</v>
      </c>
      <c r="Z108" s="2">
        <v>138320.73000000001</v>
      </c>
      <c r="AA108">
        <v>0</v>
      </c>
    </row>
    <row r="109" spans="1:27" x14ac:dyDescent="0.35">
      <c r="A109">
        <v>2561</v>
      </c>
      <c r="B109">
        <v>0</v>
      </c>
      <c r="C109" s="1">
        <v>32598</v>
      </c>
      <c r="D109">
        <v>1</v>
      </c>
      <c r="E109" t="s">
        <v>20</v>
      </c>
      <c r="F109" t="s">
        <v>119</v>
      </c>
      <c r="G109" s="1">
        <v>32598</v>
      </c>
      <c r="H109" s="2">
        <v>172093.04</v>
      </c>
      <c r="I109" s="2">
        <f t="shared" si="1"/>
        <v>-172092.04</v>
      </c>
      <c r="J109">
        <v>1</v>
      </c>
      <c r="K109" t="s">
        <v>23</v>
      </c>
      <c r="L109">
        <v>10700040</v>
      </c>
      <c r="M109" t="s">
        <v>65</v>
      </c>
      <c r="N109">
        <v>33000</v>
      </c>
      <c r="O109" t="s">
        <v>30</v>
      </c>
      <c r="P109" t="s">
        <v>527</v>
      </c>
      <c r="Q109" t="s">
        <v>31</v>
      </c>
      <c r="R109">
        <v>164500</v>
      </c>
      <c r="S109" t="s">
        <v>63</v>
      </c>
      <c r="T109">
        <v>1</v>
      </c>
      <c r="U109">
        <v>0</v>
      </c>
      <c r="V109">
        <v>0</v>
      </c>
      <c r="W109">
        <v>0</v>
      </c>
      <c r="X109">
        <v>0</v>
      </c>
      <c r="Y109" s="2">
        <v>-8839.91</v>
      </c>
      <c r="Z109" s="2">
        <v>8840.91</v>
      </c>
      <c r="AA109">
        <v>0</v>
      </c>
    </row>
    <row r="110" spans="1:27" x14ac:dyDescent="0.35">
      <c r="A110">
        <v>2562</v>
      </c>
      <c r="B110">
        <v>0</v>
      </c>
      <c r="C110" s="1">
        <v>32598</v>
      </c>
      <c r="D110">
        <v>1</v>
      </c>
      <c r="E110" t="s">
        <v>20</v>
      </c>
      <c r="F110" t="s">
        <v>120</v>
      </c>
      <c r="G110" s="1">
        <v>32598</v>
      </c>
      <c r="H110" s="2">
        <v>101011.14</v>
      </c>
      <c r="I110" s="2">
        <f t="shared" si="1"/>
        <v>-101010.14</v>
      </c>
      <c r="J110">
        <v>1</v>
      </c>
      <c r="K110" t="s">
        <v>23</v>
      </c>
      <c r="L110">
        <v>10700040</v>
      </c>
      <c r="M110" t="s">
        <v>65</v>
      </c>
      <c r="N110">
        <v>33000</v>
      </c>
      <c r="O110" t="s">
        <v>30</v>
      </c>
      <c r="P110" t="s">
        <v>527</v>
      </c>
      <c r="Q110" t="s">
        <v>31</v>
      </c>
      <c r="R110">
        <v>164500</v>
      </c>
      <c r="S110" t="s">
        <v>63</v>
      </c>
      <c r="T110">
        <v>1</v>
      </c>
      <c r="U110">
        <v>0</v>
      </c>
      <c r="V110">
        <v>0</v>
      </c>
      <c r="W110">
        <v>0</v>
      </c>
      <c r="X110">
        <v>0</v>
      </c>
      <c r="Y110" s="2">
        <v>-12499</v>
      </c>
      <c r="Z110" s="2">
        <v>12500</v>
      </c>
      <c r="AA110">
        <v>0</v>
      </c>
    </row>
    <row r="111" spans="1:27" x14ac:dyDescent="0.35">
      <c r="A111">
        <v>2557</v>
      </c>
      <c r="B111">
        <v>0</v>
      </c>
      <c r="C111" s="1">
        <v>32613</v>
      </c>
      <c r="D111">
        <v>5</v>
      </c>
      <c r="E111" t="s">
        <v>20</v>
      </c>
      <c r="F111" t="s">
        <v>121</v>
      </c>
      <c r="G111" s="1">
        <v>32613</v>
      </c>
      <c r="H111" s="2">
        <v>56105.279999999999</v>
      </c>
      <c r="I111" s="2">
        <f t="shared" si="1"/>
        <v>-56104.28</v>
      </c>
      <c r="J111">
        <v>1</v>
      </c>
      <c r="K111" t="s">
        <v>23</v>
      </c>
      <c r="L111">
        <v>10700040</v>
      </c>
      <c r="M111" t="s">
        <v>65</v>
      </c>
      <c r="N111">
        <v>33000</v>
      </c>
      <c r="O111" t="s">
        <v>30</v>
      </c>
      <c r="P111" t="s">
        <v>527</v>
      </c>
      <c r="Q111" t="s">
        <v>31</v>
      </c>
      <c r="R111">
        <v>164500</v>
      </c>
      <c r="S111" t="s">
        <v>63</v>
      </c>
      <c r="T111">
        <v>1</v>
      </c>
      <c r="U111">
        <v>0</v>
      </c>
      <c r="V111">
        <v>0</v>
      </c>
      <c r="W111">
        <v>0</v>
      </c>
      <c r="X111">
        <v>0</v>
      </c>
      <c r="Y111" s="2">
        <v>-5371.73</v>
      </c>
      <c r="Z111" s="2">
        <v>5372.73</v>
      </c>
      <c r="AA111">
        <v>0</v>
      </c>
    </row>
    <row r="112" spans="1:27" x14ac:dyDescent="0.35">
      <c r="A112">
        <v>2558</v>
      </c>
      <c r="B112">
        <v>0</v>
      </c>
      <c r="C112" s="1">
        <v>32613</v>
      </c>
      <c r="D112">
        <v>2</v>
      </c>
      <c r="E112" t="s">
        <v>20</v>
      </c>
      <c r="F112" t="s">
        <v>122</v>
      </c>
      <c r="G112" s="1">
        <v>32613</v>
      </c>
      <c r="H112" s="2">
        <v>8809.0400000000009</v>
      </c>
      <c r="I112" s="2">
        <f t="shared" si="1"/>
        <v>-8808.0400000000009</v>
      </c>
      <c r="J112">
        <v>1</v>
      </c>
      <c r="K112" t="s">
        <v>23</v>
      </c>
      <c r="L112">
        <v>10700040</v>
      </c>
      <c r="M112" t="s">
        <v>65</v>
      </c>
      <c r="N112">
        <v>33000</v>
      </c>
      <c r="O112" t="s">
        <v>30</v>
      </c>
      <c r="P112" t="s">
        <v>527</v>
      </c>
      <c r="Q112" t="s">
        <v>31</v>
      </c>
      <c r="R112">
        <v>164500</v>
      </c>
      <c r="S112" t="s">
        <v>63</v>
      </c>
      <c r="T112">
        <v>1</v>
      </c>
      <c r="U112">
        <v>0</v>
      </c>
      <c r="V112">
        <v>0</v>
      </c>
      <c r="W112">
        <v>0</v>
      </c>
      <c r="X112">
        <v>0</v>
      </c>
      <c r="Y112" s="2">
        <v>-61939.39</v>
      </c>
      <c r="Z112" s="2">
        <v>61940.39</v>
      </c>
      <c r="AA112">
        <v>0</v>
      </c>
    </row>
    <row r="113" spans="1:27" x14ac:dyDescent="0.35">
      <c r="A113">
        <v>2556</v>
      </c>
      <c r="B113">
        <v>0</v>
      </c>
      <c r="C113" s="1">
        <v>32640</v>
      </c>
      <c r="D113">
        <v>1</v>
      </c>
      <c r="E113" t="s">
        <v>20</v>
      </c>
      <c r="F113" t="s">
        <v>123</v>
      </c>
      <c r="G113" s="1">
        <v>32640</v>
      </c>
      <c r="H113" s="2">
        <v>5872.8</v>
      </c>
      <c r="I113" s="2">
        <f t="shared" si="1"/>
        <v>-5871.8</v>
      </c>
      <c r="J113">
        <v>1</v>
      </c>
      <c r="K113" t="s">
        <v>23</v>
      </c>
      <c r="L113">
        <v>10700040</v>
      </c>
      <c r="M113" t="s">
        <v>65</v>
      </c>
      <c r="N113">
        <v>33000</v>
      </c>
      <c r="O113" t="s">
        <v>30</v>
      </c>
      <c r="P113" t="s">
        <v>527</v>
      </c>
      <c r="Q113" t="s">
        <v>31</v>
      </c>
      <c r="R113">
        <v>164500</v>
      </c>
      <c r="S113" t="s">
        <v>63</v>
      </c>
      <c r="T113">
        <v>1</v>
      </c>
      <c r="U113">
        <v>0</v>
      </c>
      <c r="V113">
        <v>0</v>
      </c>
      <c r="W113">
        <v>0</v>
      </c>
      <c r="X113">
        <v>0</v>
      </c>
      <c r="Y113" s="2">
        <v>-343894.4</v>
      </c>
      <c r="Z113" s="2">
        <v>343895.4</v>
      </c>
      <c r="AA113">
        <v>0</v>
      </c>
    </row>
    <row r="114" spans="1:27" x14ac:dyDescent="0.35">
      <c r="A114">
        <v>2555</v>
      </c>
      <c r="B114">
        <v>0</v>
      </c>
      <c r="C114" s="1">
        <v>32659</v>
      </c>
      <c r="D114">
        <v>1</v>
      </c>
      <c r="E114" t="s">
        <v>20</v>
      </c>
      <c r="F114" t="s">
        <v>105</v>
      </c>
      <c r="G114" s="1">
        <v>32659</v>
      </c>
      <c r="H114" s="2">
        <v>2741.57</v>
      </c>
      <c r="I114" s="2">
        <f t="shared" si="1"/>
        <v>-2740.57</v>
      </c>
      <c r="J114">
        <v>1</v>
      </c>
      <c r="K114" t="s">
        <v>23</v>
      </c>
      <c r="L114">
        <v>10700040</v>
      </c>
      <c r="M114" t="s">
        <v>65</v>
      </c>
      <c r="N114">
        <v>33000</v>
      </c>
      <c r="O114" t="s">
        <v>30</v>
      </c>
      <c r="P114" t="s">
        <v>527</v>
      </c>
      <c r="Q114" t="s">
        <v>31</v>
      </c>
      <c r="R114">
        <v>164500</v>
      </c>
      <c r="S114" t="s">
        <v>63</v>
      </c>
      <c r="T114">
        <v>1</v>
      </c>
      <c r="U114">
        <v>0</v>
      </c>
      <c r="V114">
        <v>0</v>
      </c>
      <c r="W114">
        <v>0</v>
      </c>
      <c r="X114">
        <v>0</v>
      </c>
      <c r="Y114" s="2">
        <v>-59999</v>
      </c>
      <c r="Z114" s="2">
        <v>60000</v>
      </c>
      <c r="AA114">
        <v>0</v>
      </c>
    </row>
    <row r="115" spans="1:27" x14ac:dyDescent="0.35">
      <c r="A115">
        <v>2554</v>
      </c>
      <c r="B115">
        <v>0</v>
      </c>
      <c r="C115" s="1">
        <v>32741</v>
      </c>
      <c r="D115">
        <v>1</v>
      </c>
      <c r="E115" t="s">
        <v>20</v>
      </c>
      <c r="F115" t="s">
        <v>126</v>
      </c>
      <c r="G115" s="1">
        <v>32741</v>
      </c>
      <c r="H115" s="2">
        <v>32731.33</v>
      </c>
      <c r="I115" s="2">
        <f t="shared" si="1"/>
        <v>-32730.33</v>
      </c>
      <c r="J115">
        <v>1</v>
      </c>
      <c r="K115" t="s">
        <v>23</v>
      </c>
      <c r="L115">
        <v>10700040</v>
      </c>
      <c r="M115" t="s">
        <v>65</v>
      </c>
      <c r="N115">
        <v>33000</v>
      </c>
      <c r="O115" t="s">
        <v>30</v>
      </c>
      <c r="P115" t="s">
        <v>527</v>
      </c>
      <c r="Q115" t="s">
        <v>31</v>
      </c>
      <c r="R115">
        <v>164500</v>
      </c>
      <c r="S115" t="s">
        <v>63</v>
      </c>
      <c r="T115">
        <v>1</v>
      </c>
      <c r="U115">
        <v>0</v>
      </c>
      <c r="V115">
        <v>0</v>
      </c>
      <c r="W115">
        <v>0</v>
      </c>
      <c r="X115">
        <v>0</v>
      </c>
      <c r="Y115" s="2">
        <v>-62040.5</v>
      </c>
      <c r="Z115" s="2">
        <v>62041.5</v>
      </c>
      <c r="AA115">
        <v>0</v>
      </c>
    </row>
    <row r="116" spans="1:27" x14ac:dyDescent="0.35">
      <c r="A116">
        <v>2552</v>
      </c>
      <c r="B116">
        <v>0</v>
      </c>
      <c r="C116" s="1">
        <v>32752</v>
      </c>
      <c r="D116">
        <v>1</v>
      </c>
      <c r="E116" t="s">
        <v>20</v>
      </c>
      <c r="F116" t="s">
        <v>127</v>
      </c>
      <c r="G116" s="1">
        <v>32752</v>
      </c>
      <c r="H116" s="2">
        <v>44800</v>
      </c>
      <c r="I116" s="2">
        <f t="shared" si="1"/>
        <v>-44799</v>
      </c>
      <c r="J116">
        <v>1</v>
      </c>
      <c r="K116" t="s">
        <v>23</v>
      </c>
      <c r="L116">
        <v>10700040</v>
      </c>
      <c r="M116" t="s">
        <v>65</v>
      </c>
      <c r="N116">
        <v>33000</v>
      </c>
      <c r="O116" t="s">
        <v>30</v>
      </c>
      <c r="P116" t="s">
        <v>527</v>
      </c>
      <c r="Q116" t="s">
        <v>31</v>
      </c>
      <c r="R116">
        <v>164500</v>
      </c>
      <c r="S116" t="s">
        <v>63</v>
      </c>
      <c r="T116">
        <v>1</v>
      </c>
      <c r="U116">
        <v>0</v>
      </c>
      <c r="V116">
        <v>0</v>
      </c>
      <c r="W116">
        <v>0</v>
      </c>
      <c r="X116">
        <v>0</v>
      </c>
      <c r="Y116" s="2">
        <v>-26862.63</v>
      </c>
      <c r="Z116" s="2">
        <v>26863.63</v>
      </c>
      <c r="AA116">
        <v>0</v>
      </c>
    </row>
    <row r="117" spans="1:27" x14ac:dyDescent="0.35">
      <c r="A117">
        <v>2553</v>
      </c>
      <c r="B117">
        <v>0</v>
      </c>
      <c r="C117" s="1">
        <v>32752</v>
      </c>
      <c r="D117">
        <v>1</v>
      </c>
      <c r="E117" t="s">
        <v>20</v>
      </c>
      <c r="F117" t="s">
        <v>128</v>
      </c>
      <c r="G117" s="1">
        <v>32752</v>
      </c>
      <c r="H117" s="2">
        <v>32731.33</v>
      </c>
      <c r="I117" s="2">
        <f t="shared" si="1"/>
        <v>-32730.33</v>
      </c>
      <c r="J117">
        <v>1</v>
      </c>
      <c r="K117" t="s">
        <v>23</v>
      </c>
      <c r="L117">
        <v>10700040</v>
      </c>
      <c r="M117" t="s">
        <v>65</v>
      </c>
      <c r="N117">
        <v>33000</v>
      </c>
      <c r="O117" t="s">
        <v>30</v>
      </c>
      <c r="P117" t="s">
        <v>527</v>
      </c>
      <c r="Q117" t="s">
        <v>31</v>
      </c>
      <c r="R117">
        <v>164500</v>
      </c>
      <c r="S117" t="s">
        <v>63</v>
      </c>
      <c r="T117">
        <v>1</v>
      </c>
      <c r="U117">
        <v>0</v>
      </c>
      <c r="V117">
        <v>0</v>
      </c>
      <c r="W117">
        <v>0</v>
      </c>
      <c r="X117">
        <v>0</v>
      </c>
      <c r="Y117" s="2">
        <v>-87761.49</v>
      </c>
      <c r="Z117" s="2">
        <v>87762.49</v>
      </c>
      <c r="AA117">
        <v>0</v>
      </c>
    </row>
    <row r="118" spans="1:27" x14ac:dyDescent="0.35">
      <c r="A118">
        <v>2551</v>
      </c>
      <c r="B118">
        <v>0</v>
      </c>
      <c r="C118" s="1">
        <v>32842</v>
      </c>
      <c r="D118">
        <v>1</v>
      </c>
      <c r="E118" t="s">
        <v>20</v>
      </c>
      <c r="F118" t="s">
        <v>129</v>
      </c>
      <c r="G118" s="1">
        <v>32842</v>
      </c>
      <c r="H118" s="2">
        <v>10386.549999999999</v>
      </c>
      <c r="I118" s="2">
        <f t="shared" si="1"/>
        <v>-10385.549999999999</v>
      </c>
      <c r="J118">
        <v>1</v>
      </c>
      <c r="K118" t="s">
        <v>23</v>
      </c>
      <c r="L118">
        <v>10700040</v>
      </c>
      <c r="M118" t="s">
        <v>65</v>
      </c>
      <c r="N118">
        <v>33000</v>
      </c>
      <c r="O118" t="s">
        <v>30</v>
      </c>
      <c r="P118" t="s">
        <v>527</v>
      </c>
      <c r="Q118" t="s">
        <v>31</v>
      </c>
      <c r="R118">
        <v>164500</v>
      </c>
      <c r="S118" t="s">
        <v>63</v>
      </c>
      <c r="T118">
        <v>1</v>
      </c>
      <c r="U118">
        <v>0</v>
      </c>
      <c r="V118">
        <v>0</v>
      </c>
      <c r="W118">
        <v>0</v>
      </c>
      <c r="X118">
        <v>0</v>
      </c>
      <c r="Y118" s="2">
        <v>-75612.34</v>
      </c>
      <c r="Z118" s="2">
        <v>75613.34</v>
      </c>
      <c r="AA118">
        <v>0</v>
      </c>
    </row>
    <row r="119" spans="1:27" x14ac:dyDescent="0.35">
      <c r="A119">
        <v>2550</v>
      </c>
      <c r="B119">
        <v>0</v>
      </c>
      <c r="C119" s="1">
        <v>32857</v>
      </c>
      <c r="D119">
        <v>2</v>
      </c>
      <c r="E119" t="s">
        <v>20</v>
      </c>
      <c r="F119" t="s">
        <v>130</v>
      </c>
      <c r="G119" s="1">
        <v>32857</v>
      </c>
      <c r="H119" s="2">
        <v>4205.45</v>
      </c>
      <c r="I119" s="2">
        <f t="shared" si="1"/>
        <v>-4204.45</v>
      </c>
      <c r="J119">
        <v>1</v>
      </c>
      <c r="K119" t="s">
        <v>23</v>
      </c>
      <c r="L119">
        <v>10700040</v>
      </c>
      <c r="M119" t="s">
        <v>65</v>
      </c>
      <c r="N119">
        <v>33000</v>
      </c>
      <c r="O119" t="s">
        <v>30</v>
      </c>
      <c r="P119" t="s">
        <v>527</v>
      </c>
      <c r="Q119" t="s">
        <v>31</v>
      </c>
      <c r="R119">
        <v>164500</v>
      </c>
      <c r="S119" t="s">
        <v>63</v>
      </c>
      <c r="T119">
        <v>1</v>
      </c>
      <c r="U119">
        <v>0</v>
      </c>
      <c r="V119">
        <v>0</v>
      </c>
      <c r="W119">
        <v>0</v>
      </c>
      <c r="X119">
        <v>0</v>
      </c>
      <c r="Y119" s="2">
        <v>-9271.73</v>
      </c>
      <c r="Z119" s="2">
        <v>9272.73</v>
      </c>
      <c r="AA119">
        <v>0</v>
      </c>
    </row>
    <row r="120" spans="1:27" x14ac:dyDescent="0.35">
      <c r="A120">
        <v>2549</v>
      </c>
      <c r="B120">
        <v>0</v>
      </c>
      <c r="C120" s="1">
        <v>32869</v>
      </c>
      <c r="D120">
        <v>1</v>
      </c>
      <c r="E120" t="s">
        <v>20</v>
      </c>
      <c r="F120" t="s">
        <v>131</v>
      </c>
      <c r="G120" s="1">
        <v>32869</v>
      </c>
      <c r="H120" s="2">
        <v>42000</v>
      </c>
      <c r="I120" s="2">
        <f t="shared" si="1"/>
        <v>-41999</v>
      </c>
      <c r="J120">
        <v>1</v>
      </c>
      <c r="K120" t="s">
        <v>23</v>
      </c>
      <c r="L120">
        <v>10700040</v>
      </c>
      <c r="M120" t="s">
        <v>65</v>
      </c>
      <c r="N120">
        <v>33000</v>
      </c>
      <c r="O120" t="s">
        <v>30</v>
      </c>
      <c r="P120" t="s">
        <v>527</v>
      </c>
      <c r="Q120" t="s">
        <v>31</v>
      </c>
      <c r="R120">
        <v>164500</v>
      </c>
      <c r="S120" t="s">
        <v>63</v>
      </c>
      <c r="T120">
        <v>1</v>
      </c>
      <c r="U120">
        <v>0</v>
      </c>
      <c r="V120">
        <v>0</v>
      </c>
      <c r="W120">
        <v>0</v>
      </c>
      <c r="X120">
        <v>0</v>
      </c>
      <c r="Y120" s="2">
        <v>-25908.09</v>
      </c>
      <c r="Z120" s="2">
        <v>25909.09</v>
      </c>
      <c r="AA120">
        <v>0</v>
      </c>
    </row>
    <row r="121" spans="1:27" x14ac:dyDescent="0.35">
      <c r="A121">
        <v>2548</v>
      </c>
      <c r="B121">
        <v>0</v>
      </c>
      <c r="C121" s="1">
        <v>32873</v>
      </c>
      <c r="D121">
        <v>1</v>
      </c>
      <c r="E121" t="s">
        <v>20</v>
      </c>
      <c r="F121" t="s">
        <v>132</v>
      </c>
      <c r="G121" s="1">
        <v>32873</v>
      </c>
      <c r="H121" s="2">
        <v>30201.72</v>
      </c>
      <c r="I121" s="2">
        <f t="shared" si="1"/>
        <v>-30200.720000000001</v>
      </c>
      <c r="J121">
        <v>1</v>
      </c>
      <c r="K121" t="s">
        <v>23</v>
      </c>
      <c r="L121">
        <v>10700040</v>
      </c>
      <c r="M121" t="s">
        <v>65</v>
      </c>
      <c r="N121">
        <v>33000</v>
      </c>
      <c r="O121" t="s">
        <v>30</v>
      </c>
      <c r="P121" t="s">
        <v>527</v>
      </c>
      <c r="Q121" t="s">
        <v>31</v>
      </c>
      <c r="R121">
        <v>164500</v>
      </c>
      <c r="S121" t="s">
        <v>63</v>
      </c>
      <c r="T121">
        <v>1</v>
      </c>
      <c r="U121">
        <v>0</v>
      </c>
      <c r="V121">
        <v>0</v>
      </c>
      <c r="W121">
        <v>0</v>
      </c>
      <c r="X121">
        <v>0</v>
      </c>
      <c r="Y121" s="2">
        <v>-5999</v>
      </c>
      <c r="Z121" s="2">
        <v>6000</v>
      </c>
      <c r="AA121">
        <v>0</v>
      </c>
    </row>
    <row r="122" spans="1:27" x14ac:dyDescent="0.35">
      <c r="A122">
        <v>2546</v>
      </c>
      <c r="B122">
        <v>0</v>
      </c>
      <c r="C122" s="1">
        <v>32877</v>
      </c>
      <c r="D122">
        <v>3</v>
      </c>
      <c r="E122" t="s">
        <v>20</v>
      </c>
      <c r="F122" t="s">
        <v>133</v>
      </c>
      <c r="G122" s="1">
        <v>32877</v>
      </c>
      <c r="H122" s="2">
        <v>8590.91</v>
      </c>
      <c r="I122" s="2">
        <f t="shared" si="1"/>
        <v>-8589.91</v>
      </c>
      <c r="J122">
        <v>1</v>
      </c>
      <c r="K122" t="s">
        <v>23</v>
      </c>
      <c r="L122">
        <v>10700040</v>
      </c>
      <c r="M122" t="s">
        <v>65</v>
      </c>
      <c r="N122">
        <v>33000</v>
      </c>
      <c r="O122" t="s">
        <v>30</v>
      </c>
      <c r="P122" t="s">
        <v>527</v>
      </c>
      <c r="Q122" t="s">
        <v>31</v>
      </c>
      <c r="R122">
        <v>164500</v>
      </c>
      <c r="S122" t="s">
        <v>63</v>
      </c>
      <c r="T122">
        <v>1</v>
      </c>
      <c r="U122">
        <v>0</v>
      </c>
      <c r="V122">
        <v>0</v>
      </c>
      <c r="W122">
        <v>0</v>
      </c>
      <c r="X122">
        <v>0</v>
      </c>
      <c r="Y122" s="2">
        <v>-59999</v>
      </c>
      <c r="Z122" s="2">
        <v>60000</v>
      </c>
      <c r="AA122">
        <v>0</v>
      </c>
    </row>
    <row r="123" spans="1:27" x14ac:dyDescent="0.35">
      <c r="A123">
        <v>2547</v>
      </c>
      <c r="B123">
        <v>0</v>
      </c>
      <c r="C123" s="1">
        <v>32877</v>
      </c>
      <c r="D123">
        <v>1</v>
      </c>
      <c r="E123" t="s">
        <v>20</v>
      </c>
      <c r="F123" t="s">
        <v>134</v>
      </c>
      <c r="G123" s="1">
        <v>32877</v>
      </c>
      <c r="H123" s="2">
        <v>6345.45</v>
      </c>
      <c r="I123" s="2">
        <f t="shared" si="1"/>
        <v>-6344.45</v>
      </c>
      <c r="J123">
        <v>1</v>
      </c>
      <c r="K123" t="s">
        <v>23</v>
      </c>
      <c r="L123">
        <v>10700040</v>
      </c>
      <c r="M123" t="s">
        <v>65</v>
      </c>
      <c r="N123">
        <v>33000</v>
      </c>
      <c r="O123" t="s">
        <v>30</v>
      </c>
      <c r="P123" t="s">
        <v>527</v>
      </c>
      <c r="Q123" t="s">
        <v>31</v>
      </c>
      <c r="R123">
        <v>164500</v>
      </c>
      <c r="S123" t="s">
        <v>63</v>
      </c>
      <c r="T123">
        <v>1</v>
      </c>
      <c r="U123">
        <v>0</v>
      </c>
      <c r="V123">
        <v>0</v>
      </c>
      <c r="W123">
        <v>0</v>
      </c>
      <c r="X123">
        <v>0</v>
      </c>
      <c r="Y123" s="2">
        <v>-10453.549999999999</v>
      </c>
      <c r="Z123" s="2">
        <v>10454.549999999999</v>
      </c>
      <c r="AA123">
        <v>0</v>
      </c>
    </row>
    <row r="124" spans="1:27" x14ac:dyDescent="0.35">
      <c r="A124">
        <v>2545</v>
      </c>
      <c r="B124">
        <v>0</v>
      </c>
      <c r="C124" s="1">
        <v>32884</v>
      </c>
      <c r="D124">
        <v>1</v>
      </c>
      <c r="E124" t="s">
        <v>20</v>
      </c>
      <c r="F124" t="s">
        <v>134</v>
      </c>
      <c r="G124" s="1">
        <v>32884</v>
      </c>
      <c r="H124" s="2">
        <v>6345.45</v>
      </c>
      <c r="I124" s="2">
        <f t="shared" si="1"/>
        <v>-6344.45</v>
      </c>
      <c r="J124">
        <v>1</v>
      </c>
      <c r="K124" t="s">
        <v>23</v>
      </c>
      <c r="L124">
        <v>10700040</v>
      </c>
      <c r="M124" t="s">
        <v>65</v>
      </c>
      <c r="N124">
        <v>33000</v>
      </c>
      <c r="O124" t="s">
        <v>30</v>
      </c>
      <c r="P124" t="s">
        <v>527</v>
      </c>
      <c r="Q124" t="s">
        <v>31</v>
      </c>
      <c r="R124">
        <v>164500</v>
      </c>
      <c r="S124" t="s">
        <v>63</v>
      </c>
      <c r="T124">
        <v>1</v>
      </c>
      <c r="U124">
        <v>0</v>
      </c>
      <c r="V124">
        <v>0</v>
      </c>
      <c r="W124">
        <v>0</v>
      </c>
      <c r="X124">
        <v>0</v>
      </c>
      <c r="Y124" s="2">
        <v>-71336.600000000006</v>
      </c>
      <c r="Z124" s="2">
        <v>71337.600000000006</v>
      </c>
      <c r="AA124">
        <v>0</v>
      </c>
    </row>
    <row r="125" spans="1:27" x14ac:dyDescent="0.35">
      <c r="A125">
        <v>2543</v>
      </c>
      <c r="B125">
        <v>0</v>
      </c>
      <c r="C125" s="1">
        <v>32896</v>
      </c>
      <c r="D125">
        <v>1</v>
      </c>
      <c r="E125" t="s">
        <v>20</v>
      </c>
      <c r="F125" t="s">
        <v>135</v>
      </c>
      <c r="G125" s="1">
        <v>32896</v>
      </c>
      <c r="H125" s="2">
        <v>4845.46</v>
      </c>
      <c r="I125" s="2">
        <f t="shared" si="1"/>
        <v>-4844.46</v>
      </c>
      <c r="J125">
        <v>1</v>
      </c>
      <c r="K125" t="s">
        <v>23</v>
      </c>
      <c r="L125">
        <v>10700040</v>
      </c>
      <c r="M125" t="s">
        <v>65</v>
      </c>
      <c r="N125">
        <v>33000</v>
      </c>
      <c r="O125" t="s">
        <v>30</v>
      </c>
      <c r="P125" t="s">
        <v>527</v>
      </c>
      <c r="Q125" t="s">
        <v>31</v>
      </c>
      <c r="R125">
        <v>164500</v>
      </c>
      <c r="S125" t="s">
        <v>63</v>
      </c>
      <c r="T125">
        <v>1</v>
      </c>
      <c r="U125">
        <v>0</v>
      </c>
      <c r="V125">
        <v>0</v>
      </c>
      <c r="W125">
        <v>0</v>
      </c>
      <c r="X125">
        <v>0</v>
      </c>
      <c r="Y125" s="2">
        <v>-90961.4</v>
      </c>
      <c r="Z125" s="2">
        <v>90962.4</v>
      </c>
      <c r="AA125">
        <v>0</v>
      </c>
    </row>
    <row r="126" spans="1:27" x14ac:dyDescent="0.35">
      <c r="A126">
        <v>2544</v>
      </c>
      <c r="B126">
        <v>0</v>
      </c>
      <c r="C126" s="1">
        <v>32896</v>
      </c>
      <c r="D126">
        <v>1</v>
      </c>
      <c r="E126" t="s">
        <v>20</v>
      </c>
      <c r="F126" t="s">
        <v>136</v>
      </c>
      <c r="G126" s="1">
        <v>32896</v>
      </c>
      <c r="H126" s="2">
        <v>4845.45</v>
      </c>
      <c r="I126" s="2">
        <f t="shared" si="1"/>
        <v>-4844.45</v>
      </c>
      <c r="J126">
        <v>1</v>
      </c>
      <c r="K126" t="s">
        <v>23</v>
      </c>
      <c r="L126">
        <v>10700040</v>
      </c>
      <c r="M126" t="s">
        <v>65</v>
      </c>
      <c r="N126">
        <v>33000</v>
      </c>
      <c r="O126" t="s">
        <v>30</v>
      </c>
      <c r="P126" t="s">
        <v>527</v>
      </c>
      <c r="Q126" t="s">
        <v>31</v>
      </c>
      <c r="R126">
        <v>164500</v>
      </c>
      <c r="S126" t="s">
        <v>63</v>
      </c>
      <c r="T126">
        <v>1</v>
      </c>
      <c r="U126">
        <v>0</v>
      </c>
      <c r="V126">
        <v>0</v>
      </c>
      <c r="W126">
        <v>0</v>
      </c>
      <c r="X126">
        <v>0</v>
      </c>
      <c r="Y126" s="2">
        <v>-20079</v>
      </c>
      <c r="Z126" s="2">
        <v>20080</v>
      </c>
      <c r="AA126">
        <v>0</v>
      </c>
    </row>
    <row r="127" spans="1:27" x14ac:dyDescent="0.35">
      <c r="A127">
        <v>2541</v>
      </c>
      <c r="B127">
        <v>0</v>
      </c>
      <c r="C127" s="1">
        <v>32911</v>
      </c>
      <c r="D127">
        <v>1</v>
      </c>
      <c r="E127" t="s">
        <v>20</v>
      </c>
      <c r="F127" t="s">
        <v>137</v>
      </c>
      <c r="G127" s="1">
        <v>32911</v>
      </c>
      <c r="H127" s="2">
        <v>382730.12</v>
      </c>
      <c r="I127" s="2">
        <f t="shared" si="1"/>
        <v>-382729.12</v>
      </c>
      <c r="J127">
        <v>1</v>
      </c>
      <c r="K127" t="s">
        <v>23</v>
      </c>
      <c r="L127">
        <v>10700040</v>
      </c>
      <c r="M127" t="s">
        <v>65</v>
      </c>
      <c r="N127">
        <v>33000</v>
      </c>
      <c r="O127" t="s">
        <v>30</v>
      </c>
      <c r="P127" t="s">
        <v>527</v>
      </c>
      <c r="Q127" t="s">
        <v>31</v>
      </c>
      <c r="R127">
        <v>164500</v>
      </c>
      <c r="S127" t="s">
        <v>63</v>
      </c>
      <c r="T127">
        <v>1</v>
      </c>
      <c r="U127">
        <v>0</v>
      </c>
      <c r="V127">
        <v>0</v>
      </c>
      <c r="W127">
        <v>0</v>
      </c>
      <c r="X127">
        <v>0</v>
      </c>
      <c r="Y127" s="2">
        <v>-5169</v>
      </c>
      <c r="Z127" s="2">
        <v>5170</v>
      </c>
      <c r="AA127">
        <v>0</v>
      </c>
    </row>
    <row r="128" spans="1:27" x14ac:dyDescent="0.35">
      <c r="A128">
        <v>2542</v>
      </c>
      <c r="B128">
        <v>0</v>
      </c>
      <c r="C128" s="1">
        <v>32911</v>
      </c>
      <c r="D128">
        <v>1</v>
      </c>
      <c r="E128" t="s">
        <v>20</v>
      </c>
      <c r="F128" t="s">
        <v>138</v>
      </c>
      <c r="G128" s="1">
        <v>32911</v>
      </c>
      <c r="H128" s="2">
        <v>6435.14</v>
      </c>
      <c r="I128" s="2">
        <f t="shared" si="1"/>
        <v>-6434.14</v>
      </c>
      <c r="J128">
        <v>1</v>
      </c>
      <c r="K128" t="s">
        <v>23</v>
      </c>
      <c r="L128">
        <v>10700040</v>
      </c>
      <c r="M128" t="s">
        <v>65</v>
      </c>
      <c r="N128">
        <v>33000</v>
      </c>
      <c r="O128" t="s">
        <v>30</v>
      </c>
      <c r="P128" t="s">
        <v>527</v>
      </c>
      <c r="Q128" t="s">
        <v>31</v>
      </c>
      <c r="R128">
        <v>164500</v>
      </c>
      <c r="S128" t="s">
        <v>63</v>
      </c>
      <c r="T128">
        <v>1</v>
      </c>
      <c r="U128">
        <v>0</v>
      </c>
      <c r="V128">
        <v>0</v>
      </c>
      <c r="W128">
        <v>0</v>
      </c>
      <c r="X128">
        <v>0</v>
      </c>
      <c r="Y128" s="2">
        <v>-113635.36</v>
      </c>
      <c r="Z128" s="2">
        <v>113636.36</v>
      </c>
      <c r="AA128">
        <v>0</v>
      </c>
    </row>
    <row r="129" spans="1:27" x14ac:dyDescent="0.35">
      <c r="A129">
        <v>2540</v>
      </c>
      <c r="B129">
        <v>0</v>
      </c>
      <c r="C129" s="1">
        <v>32945</v>
      </c>
      <c r="D129">
        <v>1</v>
      </c>
      <c r="E129" t="s">
        <v>20</v>
      </c>
      <c r="F129" t="s">
        <v>139</v>
      </c>
      <c r="G129" s="1">
        <v>32945</v>
      </c>
      <c r="H129" s="2">
        <v>38904.550000000003</v>
      </c>
      <c r="I129" s="2">
        <f t="shared" si="1"/>
        <v>-38903.550000000003</v>
      </c>
      <c r="J129">
        <v>1</v>
      </c>
      <c r="K129" t="s">
        <v>23</v>
      </c>
      <c r="L129">
        <v>10700040</v>
      </c>
      <c r="M129" t="s">
        <v>65</v>
      </c>
      <c r="N129">
        <v>33000</v>
      </c>
      <c r="O129" t="s">
        <v>30</v>
      </c>
      <c r="P129" t="s">
        <v>527</v>
      </c>
      <c r="Q129" t="s">
        <v>31</v>
      </c>
      <c r="R129">
        <v>164500</v>
      </c>
      <c r="S129" t="s">
        <v>63</v>
      </c>
      <c r="T129">
        <v>1</v>
      </c>
      <c r="U129">
        <v>0</v>
      </c>
      <c r="V129">
        <v>0</v>
      </c>
      <c r="W129">
        <v>0</v>
      </c>
      <c r="X129">
        <v>0</v>
      </c>
      <c r="Y129" s="2">
        <v>-60337.7</v>
      </c>
      <c r="Z129" s="2">
        <v>60338.7</v>
      </c>
      <c r="AA129">
        <v>0</v>
      </c>
    </row>
    <row r="130" spans="1:27" x14ac:dyDescent="0.35">
      <c r="A130">
        <v>2539</v>
      </c>
      <c r="B130">
        <v>0</v>
      </c>
      <c r="C130" s="1">
        <v>33037</v>
      </c>
      <c r="D130">
        <v>1</v>
      </c>
      <c r="E130" t="s">
        <v>20</v>
      </c>
      <c r="F130" t="s">
        <v>143</v>
      </c>
      <c r="G130" s="1">
        <v>33037</v>
      </c>
      <c r="H130" s="2">
        <v>9354.5499999999993</v>
      </c>
      <c r="I130" s="2">
        <f t="shared" ref="I130:I193" si="2">J130-H130</f>
        <v>-9353.5499999999993</v>
      </c>
      <c r="J130">
        <v>1</v>
      </c>
      <c r="K130" t="s">
        <v>23</v>
      </c>
      <c r="L130">
        <v>10700040</v>
      </c>
      <c r="M130" t="s">
        <v>65</v>
      </c>
      <c r="N130">
        <v>33000</v>
      </c>
      <c r="O130" t="s">
        <v>30</v>
      </c>
      <c r="P130" t="s">
        <v>527</v>
      </c>
      <c r="Q130" t="s">
        <v>31</v>
      </c>
      <c r="R130">
        <v>164500</v>
      </c>
      <c r="S130" t="s">
        <v>63</v>
      </c>
      <c r="T130">
        <v>1</v>
      </c>
      <c r="U130">
        <v>0</v>
      </c>
      <c r="V130">
        <v>0</v>
      </c>
      <c r="W130">
        <v>0</v>
      </c>
      <c r="X130">
        <v>0</v>
      </c>
      <c r="Y130" s="2">
        <v>-59095.91</v>
      </c>
      <c r="Z130" s="2">
        <v>59096.91</v>
      </c>
      <c r="AA130">
        <v>0</v>
      </c>
    </row>
    <row r="131" spans="1:27" x14ac:dyDescent="0.35">
      <c r="A131">
        <v>2538</v>
      </c>
      <c r="B131">
        <v>0</v>
      </c>
      <c r="C131" s="1">
        <v>33061</v>
      </c>
      <c r="D131">
        <v>1</v>
      </c>
      <c r="E131" t="s">
        <v>20</v>
      </c>
      <c r="F131" t="s">
        <v>144</v>
      </c>
      <c r="G131" s="1">
        <v>33061</v>
      </c>
      <c r="H131" s="2">
        <v>34336.089999999997</v>
      </c>
      <c r="I131" s="2">
        <f t="shared" si="2"/>
        <v>-34335.089999999997</v>
      </c>
      <c r="J131">
        <v>1</v>
      </c>
      <c r="K131" t="s">
        <v>23</v>
      </c>
      <c r="L131">
        <v>10700040</v>
      </c>
      <c r="M131" t="s">
        <v>65</v>
      </c>
      <c r="N131">
        <v>33000</v>
      </c>
      <c r="O131" t="s">
        <v>30</v>
      </c>
      <c r="P131" t="s">
        <v>527</v>
      </c>
      <c r="Q131" t="s">
        <v>31</v>
      </c>
      <c r="R131">
        <v>164500</v>
      </c>
      <c r="S131" t="s">
        <v>63</v>
      </c>
      <c r="T131">
        <v>0</v>
      </c>
      <c r="U131">
        <v>0</v>
      </c>
      <c r="V131">
        <v>0</v>
      </c>
      <c r="W131">
        <v>0</v>
      </c>
      <c r="X131">
        <v>0</v>
      </c>
      <c r="Y131" s="2">
        <v>-32710.11</v>
      </c>
      <c r="Z131" s="2">
        <v>32710.11</v>
      </c>
      <c r="AA131">
        <v>0</v>
      </c>
    </row>
    <row r="132" spans="1:27" x14ac:dyDescent="0.35">
      <c r="A132">
        <v>2537</v>
      </c>
      <c r="B132">
        <v>0</v>
      </c>
      <c r="C132" s="1">
        <v>33070</v>
      </c>
      <c r="D132">
        <v>1</v>
      </c>
      <c r="E132" t="s">
        <v>20</v>
      </c>
      <c r="F132" t="s">
        <v>145</v>
      </c>
      <c r="G132" s="1">
        <v>33070</v>
      </c>
      <c r="H132" s="2">
        <v>251863.64</v>
      </c>
      <c r="I132" s="2">
        <f t="shared" si="2"/>
        <v>-251862.64</v>
      </c>
      <c r="J132">
        <v>1</v>
      </c>
      <c r="K132" t="s">
        <v>23</v>
      </c>
      <c r="L132">
        <v>10700040</v>
      </c>
      <c r="M132" t="s">
        <v>65</v>
      </c>
      <c r="N132">
        <v>33000</v>
      </c>
      <c r="O132" t="s">
        <v>30</v>
      </c>
      <c r="P132" t="s">
        <v>527</v>
      </c>
      <c r="Q132" t="s">
        <v>31</v>
      </c>
      <c r="R132">
        <v>164500</v>
      </c>
      <c r="S132" t="s">
        <v>63</v>
      </c>
      <c r="T132">
        <v>1</v>
      </c>
      <c r="U132">
        <v>0</v>
      </c>
      <c r="V132">
        <v>0</v>
      </c>
      <c r="W132">
        <v>0</v>
      </c>
      <c r="X132">
        <v>0</v>
      </c>
      <c r="Y132" s="2">
        <v>-83945.04</v>
      </c>
      <c r="Z132" s="2">
        <v>83946.04</v>
      </c>
      <c r="AA132">
        <v>0</v>
      </c>
    </row>
    <row r="133" spans="1:27" x14ac:dyDescent="0.35">
      <c r="A133">
        <v>2535</v>
      </c>
      <c r="B133">
        <v>0</v>
      </c>
      <c r="C133" s="1">
        <v>33087</v>
      </c>
      <c r="D133">
        <v>1</v>
      </c>
      <c r="E133" t="s">
        <v>20</v>
      </c>
      <c r="F133" t="s">
        <v>146</v>
      </c>
      <c r="G133" s="1">
        <v>33087</v>
      </c>
      <c r="H133" s="2">
        <v>22704.54</v>
      </c>
      <c r="I133" s="2">
        <f t="shared" si="2"/>
        <v>-22703.54</v>
      </c>
      <c r="J133">
        <v>1</v>
      </c>
      <c r="K133" t="s">
        <v>23</v>
      </c>
      <c r="L133">
        <v>10700040</v>
      </c>
      <c r="M133" t="s">
        <v>65</v>
      </c>
      <c r="N133">
        <v>33000</v>
      </c>
      <c r="O133" t="s">
        <v>30</v>
      </c>
      <c r="P133" t="s">
        <v>527</v>
      </c>
      <c r="Q133" t="s">
        <v>31</v>
      </c>
      <c r="R133">
        <v>164500</v>
      </c>
      <c r="S133" t="s">
        <v>63</v>
      </c>
      <c r="T133">
        <v>1</v>
      </c>
      <c r="U133">
        <v>0</v>
      </c>
      <c r="V133">
        <v>0</v>
      </c>
      <c r="W133">
        <v>0</v>
      </c>
      <c r="X133">
        <v>0</v>
      </c>
      <c r="Y133" s="2">
        <v>-32328.09</v>
      </c>
      <c r="Z133" s="2">
        <v>32329.09</v>
      </c>
      <c r="AA133">
        <v>0</v>
      </c>
    </row>
    <row r="134" spans="1:27" x14ac:dyDescent="0.35">
      <c r="A134">
        <v>2536</v>
      </c>
      <c r="B134">
        <v>0</v>
      </c>
      <c r="C134" s="1">
        <v>33087</v>
      </c>
      <c r="D134">
        <v>1</v>
      </c>
      <c r="E134" t="s">
        <v>20</v>
      </c>
      <c r="F134" t="s">
        <v>147</v>
      </c>
      <c r="G134" s="1">
        <v>33087</v>
      </c>
      <c r="H134" s="2">
        <v>22704.54</v>
      </c>
      <c r="I134" s="2">
        <f t="shared" si="2"/>
        <v>-22703.54</v>
      </c>
      <c r="J134">
        <v>1</v>
      </c>
      <c r="K134" t="s">
        <v>23</v>
      </c>
      <c r="L134">
        <v>10700040</v>
      </c>
      <c r="M134" t="s">
        <v>65</v>
      </c>
      <c r="N134">
        <v>33000</v>
      </c>
      <c r="O134" t="s">
        <v>30</v>
      </c>
      <c r="P134" t="s">
        <v>527</v>
      </c>
      <c r="Q134" t="s">
        <v>31</v>
      </c>
      <c r="R134">
        <v>164500</v>
      </c>
      <c r="S134" t="s">
        <v>63</v>
      </c>
      <c r="T134">
        <v>1</v>
      </c>
      <c r="U134">
        <v>0</v>
      </c>
      <c r="V134">
        <v>0</v>
      </c>
      <c r="W134">
        <v>0</v>
      </c>
      <c r="X134">
        <v>0</v>
      </c>
      <c r="Y134" s="2">
        <v>-37297.18</v>
      </c>
      <c r="Z134" s="2">
        <v>37298.18</v>
      </c>
      <c r="AA134">
        <v>0</v>
      </c>
    </row>
    <row r="135" spans="1:27" x14ac:dyDescent="0.35">
      <c r="A135">
        <v>2533</v>
      </c>
      <c r="B135">
        <v>0</v>
      </c>
      <c r="C135" s="1">
        <v>33098</v>
      </c>
      <c r="D135">
        <v>1</v>
      </c>
      <c r="E135" t="s">
        <v>20</v>
      </c>
      <c r="F135" t="s">
        <v>148</v>
      </c>
      <c r="G135" s="1">
        <v>33098</v>
      </c>
      <c r="H135" s="2">
        <v>18454.54</v>
      </c>
      <c r="I135" s="2">
        <f t="shared" si="2"/>
        <v>-18453.54</v>
      </c>
      <c r="J135">
        <v>1</v>
      </c>
      <c r="K135" t="s">
        <v>23</v>
      </c>
      <c r="L135">
        <v>10700040</v>
      </c>
      <c r="M135" t="s">
        <v>65</v>
      </c>
      <c r="N135">
        <v>33000</v>
      </c>
      <c r="O135" t="s">
        <v>30</v>
      </c>
      <c r="P135" t="s">
        <v>527</v>
      </c>
      <c r="Q135" t="s">
        <v>31</v>
      </c>
      <c r="R135">
        <v>164500</v>
      </c>
      <c r="S135" t="s">
        <v>63</v>
      </c>
      <c r="T135">
        <v>1</v>
      </c>
      <c r="U135">
        <v>0</v>
      </c>
      <c r="V135">
        <v>0</v>
      </c>
      <c r="W135">
        <v>0</v>
      </c>
      <c r="X135">
        <v>0</v>
      </c>
      <c r="Y135" s="2">
        <v>-8808.09</v>
      </c>
      <c r="Z135" s="2">
        <v>8809.09</v>
      </c>
      <c r="AA135">
        <v>0</v>
      </c>
    </row>
    <row r="136" spans="1:27" x14ac:dyDescent="0.35">
      <c r="A136">
        <v>2534</v>
      </c>
      <c r="B136">
        <v>0</v>
      </c>
      <c r="C136" s="1">
        <v>33098</v>
      </c>
      <c r="D136">
        <v>1</v>
      </c>
      <c r="E136" t="s">
        <v>20</v>
      </c>
      <c r="F136" t="s">
        <v>149</v>
      </c>
      <c r="G136" s="1">
        <v>33098</v>
      </c>
      <c r="H136" s="2">
        <v>20686.36</v>
      </c>
      <c r="I136" s="2">
        <f t="shared" si="2"/>
        <v>-20685.36</v>
      </c>
      <c r="J136">
        <v>1</v>
      </c>
      <c r="K136" t="s">
        <v>23</v>
      </c>
      <c r="L136">
        <v>10700040</v>
      </c>
      <c r="M136" t="s">
        <v>65</v>
      </c>
      <c r="N136">
        <v>33000</v>
      </c>
      <c r="O136" t="s">
        <v>30</v>
      </c>
      <c r="P136" t="s">
        <v>527</v>
      </c>
      <c r="Q136" t="s">
        <v>31</v>
      </c>
      <c r="R136">
        <v>164500</v>
      </c>
      <c r="S136" t="s">
        <v>63</v>
      </c>
      <c r="T136">
        <v>1</v>
      </c>
      <c r="U136">
        <v>0</v>
      </c>
      <c r="V136">
        <v>0</v>
      </c>
      <c r="W136">
        <v>0</v>
      </c>
      <c r="X136">
        <v>0</v>
      </c>
      <c r="Y136" s="2">
        <v>-1350417.93</v>
      </c>
      <c r="Z136" s="2">
        <v>1350418.93</v>
      </c>
      <c r="AA136">
        <v>0</v>
      </c>
    </row>
    <row r="137" spans="1:27" x14ac:dyDescent="0.35">
      <c r="A137">
        <v>2532</v>
      </c>
      <c r="B137">
        <v>0</v>
      </c>
      <c r="C137" s="1">
        <v>33192</v>
      </c>
      <c r="D137">
        <v>2</v>
      </c>
      <c r="E137" t="s">
        <v>20</v>
      </c>
      <c r="F137" t="s">
        <v>150</v>
      </c>
      <c r="G137" s="1">
        <v>33192</v>
      </c>
      <c r="H137" s="2">
        <v>170193.63</v>
      </c>
      <c r="I137" s="2">
        <f t="shared" si="2"/>
        <v>-170192.63</v>
      </c>
      <c r="J137">
        <v>1</v>
      </c>
      <c r="K137" t="s">
        <v>23</v>
      </c>
      <c r="L137">
        <v>10700040</v>
      </c>
      <c r="M137" t="s">
        <v>65</v>
      </c>
      <c r="N137">
        <v>33000</v>
      </c>
      <c r="O137" t="s">
        <v>30</v>
      </c>
      <c r="P137" t="s">
        <v>527</v>
      </c>
      <c r="Q137" t="s">
        <v>31</v>
      </c>
      <c r="R137">
        <v>164500</v>
      </c>
      <c r="S137" t="s">
        <v>63</v>
      </c>
      <c r="T137">
        <v>0</v>
      </c>
      <c r="U137">
        <v>0</v>
      </c>
      <c r="V137">
        <v>0</v>
      </c>
      <c r="W137">
        <v>0</v>
      </c>
      <c r="X137">
        <v>0</v>
      </c>
      <c r="Y137" s="2">
        <v>-161575.89000000001</v>
      </c>
      <c r="Z137" s="2">
        <v>161575.89000000001</v>
      </c>
      <c r="AA137">
        <v>0</v>
      </c>
    </row>
    <row r="138" spans="1:27" x14ac:dyDescent="0.35">
      <c r="A138">
        <v>2531</v>
      </c>
      <c r="B138">
        <v>0</v>
      </c>
      <c r="C138" s="1">
        <v>33267</v>
      </c>
      <c r="D138">
        <v>1</v>
      </c>
      <c r="E138" t="s">
        <v>20</v>
      </c>
      <c r="F138" t="s">
        <v>151</v>
      </c>
      <c r="G138" s="1">
        <v>33267</v>
      </c>
      <c r="H138" s="2">
        <v>22288.99</v>
      </c>
      <c r="I138" s="2">
        <f t="shared" si="2"/>
        <v>-22287.99</v>
      </c>
      <c r="J138">
        <v>1</v>
      </c>
      <c r="K138" t="s">
        <v>23</v>
      </c>
      <c r="L138">
        <v>10700040</v>
      </c>
      <c r="M138" t="s">
        <v>65</v>
      </c>
      <c r="N138">
        <v>33000</v>
      </c>
      <c r="O138" t="s">
        <v>30</v>
      </c>
      <c r="P138" t="s">
        <v>527</v>
      </c>
      <c r="Q138" t="s">
        <v>31</v>
      </c>
      <c r="R138">
        <v>164500</v>
      </c>
      <c r="S138" t="s">
        <v>63</v>
      </c>
      <c r="T138">
        <v>1</v>
      </c>
      <c r="U138">
        <v>0</v>
      </c>
      <c r="V138">
        <v>0</v>
      </c>
      <c r="W138">
        <v>0</v>
      </c>
      <c r="X138">
        <v>0</v>
      </c>
      <c r="Y138" s="2">
        <v>-31795.360000000001</v>
      </c>
      <c r="Z138" s="2">
        <v>31796.36</v>
      </c>
      <c r="AA138">
        <v>0</v>
      </c>
    </row>
    <row r="139" spans="1:27" x14ac:dyDescent="0.35">
      <c r="A139">
        <v>2530</v>
      </c>
      <c r="B139">
        <v>0</v>
      </c>
      <c r="C139" s="1">
        <v>33302</v>
      </c>
      <c r="D139">
        <v>1</v>
      </c>
      <c r="E139" t="s">
        <v>20</v>
      </c>
      <c r="F139" t="s">
        <v>152</v>
      </c>
      <c r="G139" s="1">
        <v>33302</v>
      </c>
      <c r="H139" s="2">
        <v>37478.21</v>
      </c>
      <c r="I139" s="2">
        <f t="shared" si="2"/>
        <v>-37477.21</v>
      </c>
      <c r="J139">
        <v>1</v>
      </c>
      <c r="K139" t="s">
        <v>23</v>
      </c>
      <c r="L139">
        <v>10700040</v>
      </c>
      <c r="M139" t="s">
        <v>65</v>
      </c>
      <c r="N139">
        <v>33000</v>
      </c>
      <c r="O139" t="s">
        <v>30</v>
      </c>
      <c r="P139" t="s">
        <v>527</v>
      </c>
      <c r="Q139" t="s">
        <v>31</v>
      </c>
      <c r="R139">
        <v>164500</v>
      </c>
      <c r="S139" t="s">
        <v>63</v>
      </c>
      <c r="T139">
        <v>1</v>
      </c>
      <c r="U139">
        <v>0</v>
      </c>
      <c r="V139">
        <v>0</v>
      </c>
      <c r="W139">
        <v>0</v>
      </c>
      <c r="X139">
        <v>0</v>
      </c>
      <c r="Y139" s="2">
        <v>-34149</v>
      </c>
      <c r="Z139" s="2">
        <v>34150</v>
      </c>
      <c r="AA139">
        <v>0</v>
      </c>
    </row>
    <row r="140" spans="1:27" x14ac:dyDescent="0.35">
      <c r="A140">
        <v>2529</v>
      </c>
      <c r="B140">
        <v>0</v>
      </c>
      <c r="C140" s="1">
        <v>33303</v>
      </c>
      <c r="D140">
        <v>1</v>
      </c>
      <c r="E140" t="s">
        <v>20</v>
      </c>
      <c r="F140" t="s">
        <v>153</v>
      </c>
      <c r="G140" s="1">
        <v>33303</v>
      </c>
      <c r="H140" s="2">
        <v>262527.86</v>
      </c>
      <c r="I140" s="2">
        <f t="shared" si="2"/>
        <v>-262526.86</v>
      </c>
      <c r="J140">
        <v>1</v>
      </c>
      <c r="K140" t="s">
        <v>23</v>
      </c>
      <c r="L140">
        <v>10700040</v>
      </c>
      <c r="M140" t="s">
        <v>65</v>
      </c>
      <c r="N140">
        <v>33000</v>
      </c>
      <c r="O140" t="s">
        <v>30</v>
      </c>
      <c r="P140" t="s">
        <v>527</v>
      </c>
      <c r="Q140" t="s">
        <v>31</v>
      </c>
      <c r="R140">
        <v>164500</v>
      </c>
      <c r="S140" t="s">
        <v>63</v>
      </c>
      <c r="T140">
        <v>1</v>
      </c>
      <c r="U140">
        <v>0</v>
      </c>
      <c r="V140">
        <v>0</v>
      </c>
      <c r="W140">
        <v>0</v>
      </c>
      <c r="X140">
        <v>0</v>
      </c>
      <c r="Y140" s="2">
        <v>-8362.64</v>
      </c>
      <c r="Z140" s="2">
        <v>8363.64</v>
      </c>
      <c r="AA140">
        <v>0</v>
      </c>
    </row>
    <row r="141" spans="1:27" x14ac:dyDescent="0.35">
      <c r="A141">
        <v>2528</v>
      </c>
      <c r="B141">
        <v>0</v>
      </c>
      <c r="C141" s="1">
        <v>33305</v>
      </c>
      <c r="D141">
        <v>1</v>
      </c>
      <c r="E141" t="s">
        <v>20</v>
      </c>
      <c r="F141" t="s">
        <v>154</v>
      </c>
      <c r="G141" s="1">
        <v>33305</v>
      </c>
      <c r="H141" s="2">
        <v>85388.2</v>
      </c>
      <c r="I141" s="2">
        <f t="shared" si="2"/>
        <v>-85387.199999999997</v>
      </c>
      <c r="J141">
        <v>1</v>
      </c>
      <c r="K141" t="s">
        <v>23</v>
      </c>
      <c r="L141">
        <v>10700040</v>
      </c>
      <c r="M141" t="s">
        <v>65</v>
      </c>
      <c r="N141">
        <v>33000</v>
      </c>
      <c r="O141" t="s">
        <v>30</v>
      </c>
      <c r="P141" t="s">
        <v>527</v>
      </c>
      <c r="Q141" t="s">
        <v>31</v>
      </c>
      <c r="R141">
        <v>164500</v>
      </c>
      <c r="S141" t="s">
        <v>63</v>
      </c>
      <c r="T141">
        <v>1</v>
      </c>
      <c r="U141">
        <v>0</v>
      </c>
      <c r="V141">
        <v>0</v>
      </c>
      <c r="W141">
        <v>0</v>
      </c>
      <c r="X141">
        <v>0</v>
      </c>
      <c r="Y141" s="2">
        <v>-10339</v>
      </c>
      <c r="Z141" s="2">
        <v>10340</v>
      </c>
      <c r="AA141">
        <v>0</v>
      </c>
    </row>
    <row r="142" spans="1:27" x14ac:dyDescent="0.35">
      <c r="A142">
        <v>2527</v>
      </c>
      <c r="B142">
        <v>0</v>
      </c>
      <c r="C142" s="1">
        <v>33333</v>
      </c>
      <c r="D142">
        <v>1</v>
      </c>
      <c r="E142" t="s">
        <v>20</v>
      </c>
      <c r="F142" t="s">
        <v>155</v>
      </c>
      <c r="G142" s="1">
        <v>33333</v>
      </c>
      <c r="H142" s="2">
        <v>6477.14</v>
      </c>
      <c r="I142" s="2">
        <f t="shared" si="2"/>
        <v>-6476.14</v>
      </c>
      <c r="J142">
        <v>1</v>
      </c>
      <c r="K142" t="s">
        <v>23</v>
      </c>
      <c r="L142">
        <v>10700040</v>
      </c>
      <c r="M142" t="s">
        <v>65</v>
      </c>
      <c r="N142">
        <v>33000</v>
      </c>
      <c r="O142" t="s">
        <v>30</v>
      </c>
      <c r="P142" t="s">
        <v>527</v>
      </c>
      <c r="Q142" t="s">
        <v>31</v>
      </c>
      <c r="R142">
        <v>164500</v>
      </c>
      <c r="S142" t="s">
        <v>63</v>
      </c>
      <c r="T142">
        <v>1</v>
      </c>
      <c r="U142">
        <v>0</v>
      </c>
      <c r="V142">
        <v>0</v>
      </c>
      <c r="W142">
        <v>0</v>
      </c>
      <c r="X142">
        <v>0</v>
      </c>
      <c r="Y142" s="2">
        <v>-18504.45</v>
      </c>
      <c r="Z142" s="2">
        <v>18505.45</v>
      </c>
      <c r="AA142">
        <v>0</v>
      </c>
    </row>
    <row r="143" spans="1:27" x14ac:dyDescent="0.35">
      <c r="A143">
        <v>2526</v>
      </c>
      <c r="B143">
        <v>0</v>
      </c>
      <c r="C143" s="1">
        <v>33371</v>
      </c>
      <c r="D143">
        <v>1</v>
      </c>
      <c r="E143" t="s">
        <v>20</v>
      </c>
      <c r="F143" t="s">
        <v>156</v>
      </c>
      <c r="G143" s="1">
        <v>33371</v>
      </c>
      <c r="H143" s="2">
        <v>282781.92</v>
      </c>
      <c r="I143" s="2">
        <f t="shared" si="2"/>
        <v>-282780.92</v>
      </c>
      <c r="J143">
        <v>1</v>
      </c>
      <c r="K143" t="s">
        <v>23</v>
      </c>
      <c r="L143">
        <v>10700040</v>
      </c>
      <c r="M143" t="s">
        <v>65</v>
      </c>
      <c r="N143">
        <v>33000</v>
      </c>
      <c r="O143" t="s">
        <v>30</v>
      </c>
      <c r="P143" t="s">
        <v>527</v>
      </c>
      <c r="Q143" t="s">
        <v>31</v>
      </c>
      <c r="R143">
        <v>164500</v>
      </c>
      <c r="S143" t="s">
        <v>63</v>
      </c>
      <c r="T143">
        <v>1</v>
      </c>
      <c r="U143">
        <v>0</v>
      </c>
      <c r="V143">
        <v>0</v>
      </c>
      <c r="W143">
        <v>0</v>
      </c>
      <c r="X143">
        <v>0</v>
      </c>
      <c r="Y143" s="2">
        <v>-23603.54</v>
      </c>
      <c r="Z143" s="2">
        <v>23604.54</v>
      </c>
      <c r="AA143">
        <v>0</v>
      </c>
    </row>
    <row r="144" spans="1:27" x14ac:dyDescent="0.35">
      <c r="A144">
        <v>2667</v>
      </c>
      <c r="B144">
        <v>0</v>
      </c>
      <c r="C144" s="1">
        <v>33378</v>
      </c>
      <c r="D144">
        <v>1</v>
      </c>
      <c r="E144" t="s">
        <v>20</v>
      </c>
      <c r="F144" t="s">
        <v>158</v>
      </c>
      <c r="G144" s="1">
        <v>33378</v>
      </c>
      <c r="H144" s="2">
        <v>10840.91</v>
      </c>
      <c r="I144" s="2">
        <f t="shared" si="2"/>
        <v>-10839.91</v>
      </c>
      <c r="J144">
        <v>1</v>
      </c>
      <c r="K144" t="s">
        <v>23</v>
      </c>
      <c r="L144">
        <v>10700040</v>
      </c>
      <c r="M144" t="s">
        <v>65</v>
      </c>
      <c r="N144">
        <v>33000</v>
      </c>
      <c r="O144" t="s">
        <v>30</v>
      </c>
      <c r="P144" t="s">
        <v>527</v>
      </c>
      <c r="Q144" t="s">
        <v>31</v>
      </c>
      <c r="R144">
        <v>164500</v>
      </c>
      <c r="S144" t="s">
        <v>63</v>
      </c>
      <c r="T144">
        <v>1</v>
      </c>
      <c r="U144">
        <v>0</v>
      </c>
      <c r="V144">
        <v>0</v>
      </c>
      <c r="W144">
        <v>0</v>
      </c>
      <c r="X144">
        <v>0</v>
      </c>
      <c r="Y144" s="2">
        <v>-4317.18</v>
      </c>
      <c r="Z144" s="2">
        <v>4318.18</v>
      </c>
      <c r="AA144">
        <v>0</v>
      </c>
    </row>
    <row r="145" spans="1:27" x14ac:dyDescent="0.35">
      <c r="A145">
        <v>2525</v>
      </c>
      <c r="B145">
        <v>0</v>
      </c>
      <c r="C145" s="1">
        <v>33381</v>
      </c>
      <c r="D145">
        <v>1</v>
      </c>
      <c r="E145" t="s">
        <v>20</v>
      </c>
      <c r="F145" t="s">
        <v>159</v>
      </c>
      <c r="G145" s="1">
        <v>33381</v>
      </c>
      <c r="H145" s="2">
        <v>19318.18</v>
      </c>
      <c r="I145" s="2">
        <f t="shared" si="2"/>
        <v>-19317.18</v>
      </c>
      <c r="J145">
        <v>1</v>
      </c>
      <c r="K145" t="s">
        <v>23</v>
      </c>
      <c r="L145">
        <v>10700040</v>
      </c>
      <c r="M145" t="s">
        <v>65</v>
      </c>
      <c r="N145">
        <v>33000</v>
      </c>
      <c r="O145" t="s">
        <v>30</v>
      </c>
      <c r="P145" t="s">
        <v>527</v>
      </c>
      <c r="Q145" t="s">
        <v>31</v>
      </c>
      <c r="R145">
        <v>164500</v>
      </c>
      <c r="S145" t="s">
        <v>63</v>
      </c>
      <c r="T145">
        <v>1</v>
      </c>
      <c r="U145">
        <v>0</v>
      </c>
      <c r="V145">
        <v>0</v>
      </c>
      <c r="W145">
        <v>0</v>
      </c>
      <c r="X145">
        <v>0</v>
      </c>
      <c r="Y145" s="2">
        <v>-9461.5</v>
      </c>
      <c r="Z145" s="2">
        <v>9462.5</v>
      </c>
      <c r="AA145">
        <v>0</v>
      </c>
    </row>
    <row r="146" spans="1:27" x14ac:dyDescent="0.35">
      <c r="A146">
        <v>2524</v>
      </c>
      <c r="B146">
        <v>0</v>
      </c>
      <c r="C146" s="1">
        <v>33405</v>
      </c>
      <c r="D146">
        <v>1</v>
      </c>
      <c r="E146" t="s">
        <v>20</v>
      </c>
      <c r="F146" t="s">
        <v>160</v>
      </c>
      <c r="G146" s="1">
        <v>33405</v>
      </c>
      <c r="H146" s="2">
        <v>102530.2</v>
      </c>
      <c r="I146" s="2">
        <f t="shared" si="2"/>
        <v>-102529.2</v>
      </c>
      <c r="J146">
        <v>1</v>
      </c>
      <c r="K146" t="s">
        <v>23</v>
      </c>
      <c r="L146">
        <v>10700040</v>
      </c>
      <c r="M146" t="s">
        <v>65</v>
      </c>
      <c r="N146">
        <v>33000</v>
      </c>
      <c r="O146" t="s">
        <v>30</v>
      </c>
      <c r="P146" t="s">
        <v>527</v>
      </c>
      <c r="Q146" t="s">
        <v>31</v>
      </c>
      <c r="R146">
        <v>164500</v>
      </c>
      <c r="S146" t="s">
        <v>63</v>
      </c>
      <c r="T146">
        <v>1</v>
      </c>
      <c r="U146">
        <v>0</v>
      </c>
      <c r="V146">
        <v>0</v>
      </c>
      <c r="W146">
        <v>0</v>
      </c>
      <c r="X146">
        <v>0</v>
      </c>
      <c r="Y146" s="2">
        <v>-6544.45</v>
      </c>
      <c r="Z146" s="2">
        <v>6545.45</v>
      </c>
      <c r="AA146">
        <v>0</v>
      </c>
    </row>
    <row r="147" spans="1:27" x14ac:dyDescent="0.35">
      <c r="A147">
        <v>2523</v>
      </c>
      <c r="B147">
        <v>0</v>
      </c>
      <c r="C147" s="1">
        <v>33435</v>
      </c>
      <c r="D147">
        <v>1</v>
      </c>
      <c r="E147" t="s">
        <v>20</v>
      </c>
      <c r="F147" t="s">
        <v>162</v>
      </c>
      <c r="G147" s="1">
        <v>33435</v>
      </c>
      <c r="H147" s="2">
        <v>12673.64</v>
      </c>
      <c r="I147" s="2">
        <f t="shared" si="2"/>
        <v>-12672.64</v>
      </c>
      <c r="J147">
        <v>1</v>
      </c>
      <c r="K147" t="s">
        <v>23</v>
      </c>
      <c r="L147">
        <v>10700040</v>
      </c>
      <c r="M147" t="s">
        <v>65</v>
      </c>
      <c r="N147">
        <v>33000</v>
      </c>
      <c r="O147" t="s">
        <v>30</v>
      </c>
      <c r="P147" t="s">
        <v>527</v>
      </c>
      <c r="Q147" t="s">
        <v>31</v>
      </c>
      <c r="R147">
        <v>164500</v>
      </c>
      <c r="S147" t="s">
        <v>63</v>
      </c>
      <c r="T147">
        <v>1</v>
      </c>
      <c r="U147">
        <v>0</v>
      </c>
      <c r="V147">
        <v>0</v>
      </c>
      <c r="W147">
        <v>0</v>
      </c>
      <c r="X147">
        <v>0</v>
      </c>
      <c r="Y147" s="2">
        <v>-9461.5</v>
      </c>
      <c r="Z147" s="2">
        <v>9462.5</v>
      </c>
      <c r="AA147">
        <v>0</v>
      </c>
    </row>
    <row r="148" spans="1:27" x14ac:dyDescent="0.35">
      <c r="A148">
        <v>2521</v>
      </c>
      <c r="B148">
        <v>0</v>
      </c>
      <c r="C148" s="1">
        <v>33483</v>
      </c>
      <c r="D148">
        <v>1</v>
      </c>
      <c r="E148" t="s">
        <v>20</v>
      </c>
      <c r="F148" t="s">
        <v>163</v>
      </c>
      <c r="G148" s="1">
        <v>33483</v>
      </c>
      <c r="H148" s="2">
        <v>7377.3</v>
      </c>
      <c r="I148" s="2">
        <f t="shared" si="2"/>
        <v>-7376.3</v>
      </c>
      <c r="J148">
        <v>1</v>
      </c>
      <c r="K148" t="s">
        <v>23</v>
      </c>
      <c r="L148">
        <v>10700040</v>
      </c>
      <c r="M148" t="s">
        <v>65</v>
      </c>
      <c r="N148">
        <v>33000</v>
      </c>
      <c r="O148" t="s">
        <v>30</v>
      </c>
      <c r="P148" t="s">
        <v>527</v>
      </c>
      <c r="Q148" t="s">
        <v>31</v>
      </c>
      <c r="R148">
        <v>164500</v>
      </c>
      <c r="S148" t="s">
        <v>63</v>
      </c>
      <c r="T148">
        <v>1</v>
      </c>
      <c r="U148">
        <v>0</v>
      </c>
      <c r="V148">
        <v>0</v>
      </c>
      <c r="W148">
        <v>0</v>
      </c>
      <c r="X148">
        <v>0</v>
      </c>
      <c r="Y148" s="2">
        <v>-10222.18</v>
      </c>
      <c r="Z148" s="2">
        <v>10223.18</v>
      </c>
      <c r="AA148">
        <v>0</v>
      </c>
    </row>
    <row r="149" spans="1:27" x14ac:dyDescent="0.35">
      <c r="A149">
        <v>2522</v>
      </c>
      <c r="B149">
        <v>0</v>
      </c>
      <c r="C149" s="1">
        <v>33483</v>
      </c>
      <c r="D149">
        <v>1</v>
      </c>
      <c r="E149" t="s">
        <v>20</v>
      </c>
      <c r="F149" t="s">
        <v>164</v>
      </c>
      <c r="G149" s="1">
        <v>33483</v>
      </c>
      <c r="H149" s="2">
        <v>6425.5</v>
      </c>
      <c r="I149" s="2">
        <f t="shared" si="2"/>
        <v>-6424.5</v>
      </c>
      <c r="J149">
        <v>1</v>
      </c>
      <c r="K149" t="s">
        <v>23</v>
      </c>
      <c r="L149">
        <v>10700040</v>
      </c>
      <c r="M149" t="s">
        <v>65</v>
      </c>
      <c r="N149">
        <v>33000</v>
      </c>
      <c r="O149" t="s">
        <v>30</v>
      </c>
      <c r="P149" t="s">
        <v>527</v>
      </c>
      <c r="Q149" t="s">
        <v>31</v>
      </c>
      <c r="R149">
        <v>164500</v>
      </c>
      <c r="S149" t="s">
        <v>63</v>
      </c>
      <c r="T149">
        <v>1</v>
      </c>
      <c r="U149">
        <v>0</v>
      </c>
      <c r="V149">
        <v>0</v>
      </c>
      <c r="W149">
        <v>0</v>
      </c>
      <c r="X149">
        <v>0</v>
      </c>
      <c r="Y149" s="2">
        <v>-18196.73</v>
      </c>
      <c r="Z149" s="2">
        <v>18197.73</v>
      </c>
      <c r="AA149">
        <v>0</v>
      </c>
    </row>
    <row r="150" spans="1:27" x14ac:dyDescent="0.35">
      <c r="A150">
        <v>2520</v>
      </c>
      <c r="B150">
        <v>0</v>
      </c>
      <c r="C150" s="1">
        <v>33572</v>
      </c>
      <c r="D150">
        <v>1</v>
      </c>
      <c r="E150" t="s">
        <v>20</v>
      </c>
      <c r="F150" t="s">
        <v>165</v>
      </c>
      <c r="G150" s="1">
        <v>33572</v>
      </c>
      <c r="H150" s="2">
        <v>18500</v>
      </c>
      <c r="I150" s="2">
        <f t="shared" si="2"/>
        <v>-18499</v>
      </c>
      <c r="J150">
        <v>1</v>
      </c>
      <c r="K150" t="s">
        <v>23</v>
      </c>
      <c r="L150">
        <v>10700040</v>
      </c>
      <c r="M150" t="s">
        <v>65</v>
      </c>
      <c r="N150">
        <v>33000</v>
      </c>
      <c r="O150" t="s">
        <v>30</v>
      </c>
      <c r="P150" t="s">
        <v>527</v>
      </c>
      <c r="Q150" t="s">
        <v>31</v>
      </c>
      <c r="R150">
        <v>164500</v>
      </c>
      <c r="S150" t="s">
        <v>63</v>
      </c>
      <c r="T150">
        <v>1</v>
      </c>
      <c r="U150">
        <v>0</v>
      </c>
      <c r="V150">
        <v>0</v>
      </c>
      <c r="W150">
        <v>0</v>
      </c>
      <c r="X150">
        <v>0</v>
      </c>
      <c r="Y150" s="2">
        <v>-7625.82</v>
      </c>
      <c r="Z150" s="2">
        <v>7626.82</v>
      </c>
      <c r="AA150">
        <v>0</v>
      </c>
    </row>
    <row r="151" spans="1:27" x14ac:dyDescent="0.35">
      <c r="A151">
        <v>2519</v>
      </c>
      <c r="B151">
        <v>0</v>
      </c>
      <c r="C151" s="1">
        <v>33600</v>
      </c>
      <c r="D151">
        <v>5</v>
      </c>
      <c r="E151" t="s">
        <v>20</v>
      </c>
      <c r="F151" t="s">
        <v>167</v>
      </c>
      <c r="G151" s="1">
        <v>33600</v>
      </c>
      <c r="H151" s="2">
        <v>41886.36</v>
      </c>
      <c r="I151" s="2">
        <f t="shared" si="2"/>
        <v>-41885.360000000001</v>
      </c>
      <c r="J151">
        <v>1</v>
      </c>
      <c r="K151" t="s">
        <v>23</v>
      </c>
      <c r="L151">
        <v>10700040</v>
      </c>
      <c r="M151" t="s">
        <v>65</v>
      </c>
      <c r="N151">
        <v>33000</v>
      </c>
      <c r="O151" t="s">
        <v>30</v>
      </c>
      <c r="P151" t="s">
        <v>527</v>
      </c>
      <c r="Q151" t="s">
        <v>31</v>
      </c>
      <c r="R151">
        <v>164500</v>
      </c>
      <c r="S151" t="s">
        <v>63</v>
      </c>
      <c r="T151">
        <v>1</v>
      </c>
      <c r="U151">
        <v>0</v>
      </c>
      <c r="V151">
        <v>0</v>
      </c>
      <c r="W151">
        <v>0</v>
      </c>
      <c r="X151">
        <v>0</v>
      </c>
      <c r="Y151" s="2">
        <v>-15739.45</v>
      </c>
      <c r="Z151" s="2">
        <v>15740.45</v>
      </c>
      <c r="AA151">
        <v>0</v>
      </c>
    </row>
    <row r="152" spans="1:27" x14ac:dyDescent="0.35">
      <c r="A152">
        <v>2518</v>
      </c>
      <c r="B152">
        <v>0</v>
      </c>
      <c r="C152" s="1">
        <v>33666</v>
      </c>
      <c r="D152">
        <v>1</v>
      </c>
      <c r="E152" t="s">
        <v>20</v>
      </c>
      <c r="F152" t="s">
        <v>152</v>
      </c>
      <c r="G152" s="1">
        <v>33666</v>
      </c>
      <c r="H152" s="2">
        <v>56311.12</v>
      </c>
      <c r="I152" s="2">
        <f t="shared" si="2"/>
        <v>-56310.12</v>
      </c>
      <c r="J152">
        <v>1</v>
      </c>
      <c r="K152" t="s">
        <v>23</v>
      </c>
      <c r="L152">
        <v>10700040</v>
      </c>
      <c r="M152" t="s">
        <v>65</v>
      </c>
      <c r="N152">
        <v>33000</v>
      </c>
      <c r="O152" t="s">
        <v>30</v>
      </c>
      <c r="P152" t="s">
        <v>527</v>
      </c>
      <c r="Q152" t="s">
        <v>31</v>
      </c>
      <c r="R152">
        <v>164500</v>
      </c>
      <c r="S152" t="s">
        <v>63</v>
      </c>
      <c r="T152">
        <v>1</v>
      </c>
      <c r="U152">
        <v>0</v>
      </c>
      <c r="V152">
        <v>0</v>
      </c>
      <c r="W152">
        <v>0</v>
      </c>
      <c r="X152">
        <v>0</v>
      </c>
      <c r="Y152" s="2">
        <v>-8503.5499999999993</v>
      </c>
      <c r="Z152" s="2">
        <v>8504.5499999999993</v>
      </c>
      <c r="AA152">
        <v>0</v>
      </c>
    </row>
    <row r="153" spans="1:27" x14ac:dyDescent="0.35">
      <c r="A153">
        <v>2515</v>
      </c>
      <c r="B153">
        <v>0</v>
      </c>
      <c r="C153" s="1">
        <v>33714</v>
      </c>
      <c r="D153">
        <v>1</v>
      </c>
      <c r="E153" t="s">
        <v>20</v>
      </c>
      <c r="F153" t="s">
        <v>168</v>
      </c>
      <c r="G153" s="1">
        <v>33714</v>
      </c>
      <c r="H153" s="2">
        <v>138320.73000000001</v>
      </c>
      <c r="I153" s="2">
        <f t="shared" si="2"/>
        <v>-138319.73000000001</v>
      </c>
      <c r="J153">
        <v>1</v>
      </c>
      <c r="K153" t="s">
        <v>23</v>
      </c>
      <c r="L153">
        <v>10700040</v>
      </c>
      <c r="M153" t="s">
        <v>65</v>
      </c>
      <c r="N153">
        <v>33000</v>
      </c>
      <c r="O153" t="s">
        <v>30</v>
      </c>
      <c r="P153" t="s">
        <v>527</v>
      </c>
      <c r="Q153" t="s">
        <v>31</v>
      </c>
      <c r="R153">
        <v>164500</v>
      </c>
      <c r="S153" t="s">
        <v>63</v>
      </c>
      <c r="T153">
        <v>1</v>
      </c>
      <c r="U153">
        <v>0</v>
      </c>
      <c r="V153">
        <v>0</v>
      </c>
      <c r="W153">
        <v>0</v>
      </c>
      <c r="X153">
        <v>0</v>
      </c>
      <c r="Y153" s="2">
        <v>-63620.82</v>
      </c>
      <c r="Z153" s="2">
        <v>63621.82</v>
      </c>
      <c r="AA153">
        <v>0</v>
      </c>
    </row>
    <row r="154" spans="1:27" x14ac:dyDescent="0.35">
      <c r="A154">
        <v>2516</v>
      </c>
      <c r="B154">
        <v>0</v>
      </c>
      <c r="C154" s="1">
        <v>33714</v>
      </c>
      <c r="D154">
        <v>1</v>
      </c>
      <c r="E154" t="s">
        <v>20</v>
      </c>
      <c r="F154" t="s">
        <v>169</v>
      </c>
      <c r="G154" s="1">
        <v>33714</v>
      </c>
      <c r="H154" s="2">
        <v>8840.91</v>
      </c>
      <c r="I154" s="2">
        <f t="shared" si="2"/>
        <v>-8839.91</v>
      </c>
      <c r="J154">
        <v>1</v>
      </c>
      <c r="K154" t="s">
        <v>23</v>
      </c>
      <c r="L154">
        <v>10700040</v>
      </c>
      <c r="M154" t="s">
        <v>65</v>
      </c>
      <c r="N154">
        <v>33000</v>
      </c>
      <c r="O154" t="s">
        <v>30</v>
      </c>
      <c r="P154" t="s">
        <v>527</v>
      </c>
      <c r="Q154" t="s">
        <v>31</v>
      </c>
      <c r="R154">
        <v>164500</v>
      </c>
      <c r="S154" t="s">
        <v>63</v>
      </c>
      <c r="T154">
        <v>1</v>
      </c>
      <c r="U154">
        <v>0</v>
      </c>
      <c r="V154">
        <v>0</v>
      </c>
      <c r="W154">
        <v>0</v>
      </c>
      <c r="X154">
        <v>0</v>
      </c>
      <c r="Y154" s="2">
        <v>-58564.45</v>
      </c>
      <c r="Z154" s="2">
        <v>58565.45</v>
      </c>
      <c r="AA154">
        <v>0</v>
      </c>
    </row>
    <row r="155" spans="1:27" x14ac:dyDescent="0.35">
      <c r="A155">
        <v>2517</v>
      </c>
      <c r="B155">
        <v>0</v>
      </c>
      <c r="C155" s="1">
        <v>33714</v>
      </c>
      <c r="D155">
        <v>1</v>
      </c>
      <c r="E155" t="s">
        <v>20</v>
      </c>
      <c r="F155" t="s">
        <v>170</v>
      </c>
      <c r="G155" s="1">
        <v>33714</v>
      </c>
      <c r="H155" s="2">
        <v>5372.73</v>
      </c>
      <c r="I155" s="2">
        <f t="shared" si="2"/>
        <v>-5371.73</v>
      </c>
      <c r="J155">
        <v>1</v>
      </c>
      <c r="K155" t="s">
        <v>23</v>
      </c>
      <c r="L155">
        <v>10700040</v>
      </c>
      <c r="M155" t="s">
        <v>65</v>
      </c>
      <c r="N155">
        <v>33000</v>
      </c>
      <c r="O155" t="s">
        <v>30</v>
      </c>
      <c r="P155" t="s">
        <v>527</v>
      </c>
      <c r="Q155" t="s">
        <v>31</v>
      </c>
      <c r="R155">
        <v>164500</v>
      </c>
      <c r="S155" t="s">
        <v>63</v>
      </c>
      <c r="T155">
        <v>1</v>
      </c>
      <c r="U155">
        <v>0</v>
      </c>
      <c r="V155">
        <v>0</v>
      </c>
      <c r="W155">
        <v>0</v>
      </c>
      <c r="X155">
        <v>0</v>
      </c>
      <c r="Y155" s="2">
        <v>-72346.67</v>
      </c>
      <c r="Z155" s="2">
        <v>72347.67</v>
      </c>
      <c r="AA155">
        <v>0</v>
      </c>
    </row>
    <row r="156" spans="1:27" x14ac:dyDescent="0.35">
      <c r="A156">
        <v>2514</v>
      </c>
      <c r="B156">
        <v>0</v>
      </c>
      <c r="C156" s="1">
        <v>33715</v>
      </c>
      <c r="D156">
        <v>5</v>
      </c>
      <c r="E156" t="s">
        <v>20</v>
      </c>
      <c r="F156" t="s">
        <v>171</v>
      </c>
      <c r="G156" s="1">
        <v>33715</v>
      </c>
      <c r="H156" s="2">
        <v>61940.39</v>
      </c>
      <c r="I156" s="2">
        <f t="shared" si="2"/>
        <v>-61939.39</v>
      </c>
      <c r="J156">
        <v>1</v>
      </c>
      <c r="K156" t="s">
        <v>23</v>
      </c>
      <c r="L156">
        <v>10700040</v>
      </c>
      <c r="M156" t="s">
        <v>65</v>
      </c>
      <c r="N156">
        <v>33000</v>
      </c>
      <c r="O156" t="s">
        <v>30</v>
      </c>
      <c r="P156" t="s">
        <v>527</v>
      </c>
      <c r="Q156" t="s">
        <v>31</v>
      </c>
      <c r="R156">
        <v>164500</v>
      </c>
      <c r="S156" t="s">
        <v>63</v>
      </c>
      <c r="T156">
        <v>1</v>
      </c>
      <c r="U156">
        <v>0</v>
      </c>
      <c r="V156">
        <v>0</v>
      </c>
      <c r="W156">
        <v>0</v>
      </c>
      <c r="X156">
        <v>0</v>
      </c>
      <c r="Y156" s="2">
        <v>-50341.73</v>
      </c>
      <c r="Z156" s="2">
        <v>50342.73</v>
      </c>
      <c r="AA156">
        <v>0</v>
      </c>
    </row>
    <row r="157" spans="1:27" x14ac:dyDescent="0.35">
      <c r="A157">
        <v>2513</v>
      </c>
      <c r="B157">
        <v>0</v>
      </c>
      <c r="C157" s="1">
        <v>33721</v>
      </c>
      <c r="D157">
        <v>1</v>
      </c>
      <c r="E157" t="s">
        <v>20</v>
      </c>
      <c r="F157" t="s">
        <v>172</v>
      </c>
      <c r="G157" s="1">
        <v>33721</v>
      </c>
      <c r="H157" s="2">
        <v>343895.4</v>
      </c>
      <c r="I157" s="2">
        <f t="shared" si="2"/>
        <v>-343894.4</v>
      </c>
      <c r="J157">
        <v>1</v>
      </c>
      <c r="K157" t="s">
        <v>23</v>
      </c>
      <c r="L157">
        <v>10700040</v>
      </c>
      <c r="M157" t="s">
        <v>65</v>
      </c>
      <c r="N157">
        <v>33000</v>
      </c>
      <c r="O157" t="s">
        <v>30</v>
      </c>
      <c r="P157" t="s">
        <v>527</v>
      </c>
      <c r="Q157" t="s">
        <v>31</v>
      </c>
      <c r="R157">
        <v>164500</v>
      </c>
      <c r="S157" t="s">
        <v>63</v>
      </c>
      <c r="T157">
        <v>1</v>
      </c>
      <c r="U157">
        <v>0</v>
      </c>
      <c r="V157">
        <v>0</v>
      </c>
      <c r="W157">
        <v>0</v>
      </c>
      <c r="X157">
        <v>0</v>
      </c>
      <c r="Y157" s="2">
        <v>-45871.72</v>
      </c>
      <c r="Z157" s="2">
        <v>45872.72</v>
      </c>
      <c r="AA157">
        <v>0</v>
      </c>
    </row>
    <row r="158" spans="1:27" x14ac:dyDescent="0.35">
      <c r="A158">
        <v>2510</v>
      </c>
      <c r="B158">
        <v>0</v>
      </c>
      <c r="C158" s="1">
        <v>33835</v>
      </c>
      <c r="D158">
        <v>4</v>
      </c>
      <c r="E158" t="s">
        <v>20</v>
      </c>
      <c r="F158" t="s">
        <v>173</v>
      </c>
      <c r="G158" s="1">
        <v>33835</v>
      </c>
      <c r="H158" s="2">
        <v>60000</v>
      </c>
      <c r="I158" s="2">
        <f t="shared" si="2"/>
        <v>-59999</v>
      </c>
      <c r="J158">
        <v>1</v>
      </c>
      <c r="K158" t="s">
        <v>23</v>
      </c>
      <c r="L158">
        <v>10700040</v>
      </c>
      <c r="M158" t="s">
        <v>65</v>
      </c>
      <c r="N158">
        <v>33000</v>
      </c>
      <c r="O158" t="s">
        <v>30</v>
      </c>
      <c r="P158" t="s">
        <v>527</v>
      </c>
      <c r="Q158" t="s">
        <v>31</v>
      </c>
      <c r="R158">
        <v>164500</v>
      </c>
      <c r="S158" t="s">
        <v>63</v>
      </c>
      <c r="T158">
        <v>1</v>
      </c>
      <c r="U158">
        <v>0</v>
      </c>
      <c r="V158">
        <v>0</v>
      </c>
      <c r="W158">
        <v>0</v>
      </c>
      <c r="X158">
        <v>0</v>
      </c>
      <c r="Y158" s="2">
        <v>-88427.25</v>
      </c>
      <c r="Z158" s="2">
        <v>88428.25</v>
      </c>
      <c r="AA158">
        <v>0</v>
      </c>
    </row>
    <row r="159" spans="1:27" x14ac:dyDescent="0.35">
      <c r="A159">
        <v>2511</v>
      </c>
      <c r="B159">
        <v>0</v>
      </c>
      <c r="C159" s="1">
        <v>33835</v>
      </c>
      <c r="D159">
        <v>5</v>
      </c>
      <c r="E159" t="s">
        <v>20</v>
      </c>
      <c r="F159" t="s">
        <v>174</v>
      </c>
      <c r="G159" s="1">
        <v>33835</v>
      </c>
      <c r="H159" s="2">
        <v>62041.5</v>
      </c>
      <c r="I159" s="2">
        <f t="shared" si="2"/>
        <v>-62040.5</v>
      </c>
      <c r="J159">
        <v>1</v>
      </c>
      <c r="K159" t="s">
        <v>23</v>
      </c>
      <c r="L159">
        <v>10700040</v>
      </c>
      <c r="M159" t="s">
        <v>65</v>
      </c>
      <c r="N159">
        <v>33000</v>
      </c>
      <c r="O159" t="s">
        <v>30</v>
      </c>
      <c r="P159" t="s">
        <v>527</v>
      </c>
      <c r="Q159" t="s">
        <v>31</v>
      </c>
      <c r="R159">
        <v>164500</v>
      </c>
      <c r="S159" t="s">
        <v>63</v>
      </c>
      <c r="T159">
        <v>1</v>
      </c>
      <c r="U159">
        <v>0</v>
      </c>
      <c r="V159">
        <v>0</v>
      </c>
      <c r="W159">
        <v>0</v>
      </c>
      <c r="X159">
        <v>0</v>
      </c>
      <c r="Y159" s="2">
        <v>-12606.27</v>
      </c>
      <c r="Z159" s="2">
        <v>12607.27</v>
      </c>
      <c r="AA159">
        <v>0</v>
      </c>
    </row>
    <row r="160" spans="1:27" x14ac:dyDescent="0.35">
      <c r="A160">
        <v>2512</v>
      </c>
      <c r="B160">
        <v>0</v>
      </c>
      <c r="C160" s="1">
        <v>33835</v>
      </c>
      <c r="D160">
        <v>5</v>
      </c>
      <c r="E160" t="s">
        <v>20</v>
      </c>
      <c r="F160" t="s">
        <v>175</v>
      </c>
      <c r="G160" s="1">
        <v>33835</v>
      </c>
      <c r="H160" s="2">
        <v>26863.63</v>
      </c>
      <c r="I160" s="2">
        <f t="shared" si="2"/>
        <v>-26862.63</v>
      </c>
      <c r="J160">
        <v>1</v>
      </c>
      <c r="K160" t="s">
        <v>23</v>
      </c>
      <c r="L160">
        <v>10700040</v>
      </c>
      <c r="M160" t="s">
        <v>65</v>
      </c>
      <c r="N160">
        <v>33000</v>
      </c>
      <c r="O160" t="s">
        <v>30</v>
      </c>
      <c r="P160" t="s">
        <v>527</v>
      </c>
      <c r="Q160" t="s">
        <v>31</v>
      </c>
      <c r="R160">
        <v>164500</v>
      </c>
      <c r="S160" t="s">
        <v>63</v>
      </c>
      <c r="T160">
        <v>1</v>
      </c>
      <c r="U160">
        <v>0</v>
      </c>
      <c r="V160">
        <v>0</v>
      </c>
      <c r="W160">
        <v>0</v>
      </c>
      <c r="X160">
        <v>0</v>
      </c>
      <c r="Y160" s="2">
        <v>-33314.559999999998</v>
      </c>
      <c r="Z160" s="2">
        <v>33315.56</v>
      </c>
      <c r="AA160">
        <v>0</v>
      </c>
    </row>
    <row r="161" spans="1:27" x14ac:dyDescent="0.35">
      <c r="A161">
        <v>2508</v>
      </c>
      <c r="B161">
        <v>0</v>
      </c>
      <c r="C161" s="1">
        <v>33975</v>
      </c>
      <c r="D161">
        <v>1</v>
      </c>
      <c r="E161" t="s">
        <v>20</v>
      </c>
      <c r="F161" t="s">
        <v>180</v>
      </c>
      <c r="G161" s="1">
        <v>33975</v>
      </c>
      <c r="H161" s="2">
        <v>6000</v>
      </c>
      <c r="I161" s="2">
        <f t="shared" si="2"/>
        <v>-5999</v>
      </c>
      <c r="J161">
        <v>1</v>
      </c>
      <c r="K161" t="s">
        <v>23</v>
      </c>
      <c r="L161">
        <v>10700040</v>
      </c>
      <c r="M161" t="s">
        <v>65</v>
      </c>
      <c r="N161">
        <v>33000</v>
      </c>
      <c r="O161" t="s">
        <v>30</v>
      </c>
      <c r="P161" t="s">
        <v>527</v>
      </c>
      <c r="Q161" t="s">
        <v>31</v>
      </c>
      <c r="R161">
        <v>164500</v>
      </c>
      <c r="S161" t="s">
        <v>63</v>
      </c>
      <c r="T161">
        <v>1</v>
      </c>
      <c r="U161">
        <v>0</v>
      </c>
      <c r="V161">
        <v>0</v>
      </c>
      <c r="W161">
        <v>0</v>
      </c>
      <c r="X161">
        <v>0</v>
      </c>
      <c r="Y161" s="2">
        <v>-78908.08</v>
      </c>
      <c r="Z161" s="2">
        <v>78909.08</v>
      </c>
      <c r="AA161">
        <v>0</v>
      </c>
    </row>
    <row r="162" spans="1:27" x14ac:dyDescent="0.35">
      <c r="A162">
        <v>2509</v>
      </c>
      <c r="B162">
        <v>0</v>
      </c>
      <c r="C162" s="1">
        <v>33975</v>
      </c>
      <c r="D162">
        <v>1</v>
      </c>
      <c r="E162" t="s">
        <v>20</v>
      </c>
      <c r="F162" t="s">
        <v>181</v>
      </c>
      <c r="G162" s="1">
        <v>33975</v>
      </c>
      <c r="H162" s="2">
        <v>60000</v>
      </c>
      <c r="I162" s="2">
        <f t="shared" si="2"/>
        <v>-59999</v>
      </c>
      <c r="J162">
        <v>1</v>
      </c>
      <c r="K162" t="s">
        <v>23</v>
      </c>
      <c r="L162">
        <v>10700040</v>
      </c>
      <c r="M162" t="s">
        <v>65</v>
      </c>
      <c r="N162">
        <v>33000</v>
      </c>
      <c r="O162" t="s">
        <v>30</v>
      </c>
      <c r="P162" t="s">
        <v>527</v>
      </c>
      <c r="Q162" t="s">
        <v>31</v>
      </c>
      <c r="R162">
        <v>164500</v>
      </c>
      <c r="S162" t="s">
        <v>63</v>
      </c>
      <c r="T162">
        <v>1</v>
      </c>
      <c r="U162">
        <v>0</v>
      </c>
      <c r="V162">
        <v>0</v>
      </c>
      <c r="W162">
        <v>0</v>
      </c>
      <c r="X162">
        <v>0</v>
      </c>
      <c r="Y162" s="2">
        <v>-55106.27</v>
      </c>
      <c r="Z162" s="2">
        <v>55107.27</v>
      </c>
      <c r="AA162">
        <v>0</v>
      </c>
    </row>
    <row r="163" spans="1:27" x14ac:dyDescent="0.35">
      <c r="A163">
        <v>2507</v>
      </c>
      <c r="B163">
        <v>0</v>
      </c>
      <c r="C163" s="1">
        <v>33983</v>
      </c>
      <c r="D163">
        <v>1</v>
      </c>
      <c r="E163" t="s">
        <v>20</v>
      </c>
      <c r="F163" t="s">
        <v>182</v>
      </c>
      <c r="G163" s="1">
        <v>33983</v>
      </c>
      <c r="H163" s="2">
        <v>10454.549999999999</v>
      </c>
      <c r="I163" s="2">
        <f t="shared" si="2"/>
        <v>-10453.549999999999</v>
      </c>
      <c r="J163">
        <v>1</v>
      </c>
      <c r="K163" t="s">
        <v>23</v>
      </c>
      <c r="L163">
        <v>10700040</v>
      </c>
      <c r="M163" t="s">
        <v>65</v>
      </c>
      <c r="N163">
        <v>33000</v>
      </c>
      <c r="O163" t="s">
        <v>30</v>
      </c>
      <c r="P163" t="s">
        <v>527</v>
      </c>
      <c r="Q163" t="s">
        <v>22</v>
      </c>
      <c r="R163">
        <v>164500</v>
      </c>
      <c r="S163" t="s">
        <v>63</v>
      </c>
      <c r="T163">
        <v>1</v>
      </c>
      <c r="U163">
        <v>0</v>
      </c>
      <c r="V163">
        <v>0</v>
      </c>
      <c r="W163">
        <v>0</v>
      </c>
      <c r="X163">
        <v>0</v>
      </c>
      <c r="Y163" s="2">
        <v>-24271.73</v>
      </c>
      <c r="Z163" s="2">
        <v>24272.73</v>
      </c>
      <c r="AA163">
        <v>0</v>
      </c>
    </row>
    <row r="164" spans="1:27" x14ac:dyDescent="0.35">
      <c r="A164">
        <v>2666</v>
      </c>
      <c r="B164">
        <v>0</v>
      </c>
      <c r="C164" s="1">
        <v>33987</v>
      </c>
      <c r="D164">
        <v>1</v>
      </c>
      <c r="E164" t="s">
        <v>20</v>
      </c>
      <c r="F164" t="s">
        <v>183</v>
      </c>
      <c r="G164" s="1">
        <v>33987</v>
      </c>
      <c r="H164" s="2">
        <v>71337.600000000006</v>
      </c>
      <c r="I164" s="2">
        <f t="shared" si="2"/>
        <v>-71336.600000000006</v>
      </c>
      <c r="J164">
        <v>1</v>
      </c>
      <c r="K164" t="s">
        <v>23</v>
      </c>
      <c r="L164">
        <v>10700040</v>
      </c>
      <c r="M164" t="s">
        <v>65</v>
      </c>
      <c r="N164">
        <v>33000</v>
      </c>
      <c r="O164" t="s">
        <v>30</v>
      </c>
      <c r="P164" t="s">
        <v>527</v>
      </c>
      <c r="Q164" t="s">
        <v>31</v>
      </c>
      <c r="R164">
        <v>164500</v>
      </c>
      <c r="S164" t="s">
        <v>63</v>
      </c>
      <c r="T164">
        <v>1</v>
      </c>
      <c r="U164">
        <v>0</v>
      </c>
      <c r="V164">
        <v>0</v>
      </c>
      <c r="W164">
        <v>0</v>
      </c>
      <c r="X164">
        <v>0</v>
      </c>
      <c r="Y164" s="2">
        <v>-128180.82</v>
      </c>
      <c r="Z164" s="2">
        <v>128181.82</v>
      </c>
      <c r="AA164">
        <v>0</v>
      </c>
    </row>
    <row r="165" spans="1:27" x14ac:dyDescent="0.35">
      <c r="A165">
        <v>2505</v>
      </c>
      <c r="B165">
        <v>0</v>
      </c>
      <c r="C165" s="1">
        <v>34254</v>
      </c>
      <c r="D165">
        <v>1</v>
      </c>
      <c r="E165" t="s">
        <v>20</v>
      </c>
      <c r="F165" t="s">
        <v>186</v>
      </c>
      <c r="G165" s="1">
        <v>34254</v>
      </c>
      <c r="H165" s="2">
        <v>5170</v>
      </c>
      <c r="I165" s="2">
        <f t="shared" si="2"/>
        <v>-5169</v>
      </c>
      <c r="J165">
        <v>1</v>
      </c>
      <c r="K165" t="s">
        <v>23</v>
      </c>
      <c r="L165">
        <v>30700040</v>
      </c>
      <c r="M165" t="s">
        <v>62</v>
      </c>
      <c r="N165">
        <v>33000</v>
      </c>
      <c r="O165" t="s">
        <v>30</v>
      </c>
      <c r="P165" t="s">
        <v>527</v>
      </c>
      <c r="Q165" t="s">
        <v>31</v>
      </c>
      <c r="R165">
        <v>164500</v>
      </c>
      <c r="S165" t="s">
        <v>63</v>
      </c>
      <c r="T165">
        <v>1</v>
      </c>
      <c r="U165">
        <v>0</v>
      </c>
      <c r="V165">
        <v>0</v>
      </c>
      <c r="W165">
        <v>0</v>
      </c>
      <c r="X165">
        <v>0</v>
      </c>
      <c r="Y165" s="2">
        <v>-5908.09</v>
      </c>
      <c r="Z165" s="2">
        <v>5909.09</v>
      </c>
      <c r="AA165">
        <v>0</v>
      </c>
    </row>
    <row r="166" spans="1:27" x14ac:dyDescent="0.35">
      <c r="A166">
        <v>2504</v>
      </c>
      <c r="B166">
        <v>0</v>
      </c>
      <c r="C166" s="1">
        <v>34348</v>
      </c>
      <c r="D166">
        <v>1</v>
      </c>
      <c r="E166" t="s">
        <v>20</v>
      </c>
      <c r="F166" t="s">
        <v>189</v>
      </c>
      <c r="G166" s="1">
        <v>34348</v>
      </c>
      <c r="H166" s="2">
        <v>59096.91</v>
      </c>
      <c r="I166" s="2">
        <f t="shared" si="2"/>
        <v>-59095.91</v>
      </c>
      <c r="J166">
        <v>1</v>
      </c>
      <c r="K166" t="s">
        <v>23</v>
      </c>
      <c r="L166">
        <v>10700040</v>
      </c>
      <c r="M166" t="s">
        <v>65</v>
      </c>
      <c r="N166">
        <v>33000</v>
      </c>
      <c r="O166" t="s">
        <v>30</v>
      </c>
      <c r="P166" t="s">
        <v>527</v>
      </c>
      <c r="Q166" t="s">
        <v>31</v>
      </c>
      <c r="R166">
        <v>164500</v>
      </c>
      <c r="S166" t="s">
        <v>63</v>
      </c>
      <c r="T166">
        <v>1</v>
      </c>
      <c r="U166">
        <v>0</v>
      </c>
      <c r="V166">
        <v>0</v>
      </c>
      <c r="W166">
        <v>0</v>
      </c>
      <c r="X166">
        <v>0</v>
      </c>
      <c r="Y166" s="2">
        <v>-25908.09</v>
      </c>
      <c r="Z166" s="2">
        <v>25909.09</v>
      </c>
      <c r="AA166">
        <v>0</v>
      </c>
    </row>
    <row r="167" spans="1:27" x14ac:dyDescent="0.35">
      <c r="A167">
        <v>2501</v>
      </c>
      <c r="B167">
        <v>0</v>
      </c>
      <c r="C167" s="1">
        <v>34370</v>
      </c>
      <c r="D167">
        <v>6</v>
      </c>
      <c r="E167" t="s">
        <v>20</v>
      </c>
      <c r="F167" t="s">
        <v>191</v>
      </c>
      <c r="G167" s="1">
        <v>34370</v>
      </c>
      <c r="H167" s="2">
        <v>83946.04</v>
      </c>
      <c r="I167" s="2">
        <f t="shared" si="2"/>
        <v>-83945.04</v>
      </c>
      <c r="J167">
        <v>1</v>
      </c>
      <c r="K167" t="s">
        <v>23</v>
      </c>
      <c r="L167">
        <v>10700040</v>
      </c>
      <c r="M167" t="s">
        <v>65</v>
      </c>
      <c r="N167">
        <v>33000</v>
      </c>
      <c r="O167" t="s">
        <v>30</v>
      </c>
      <c r="P167" t="s">
        <v>527</v>
      </c>
      <c r="Q167" t="s">
        <v>31</v>
      </c>
      <c r="R167">
        <v>164500</v>
      </c>
      <c r="S167" t="s">
        <v>63</v>
      </c>
      <c r="T167">
        <v>1</v>
      </c>
      <c r="U167">
        <v>0</v>
      </c>
      <c r="V167">
        <v>0</v>
      </c>
      <c r="W167">
        <v>0</v>
      </c>
      <c r="X167">
        <v>0</v>
      </c>
      <c r="Y167" s="2">
        <v>-16294.45</v>
      </c>
      <c r="Z167" s="2">
        <v>16295.45</v>
      </c>
      <c r="AA167">
        <v>0</v>
      </c>
    </row>
    <row r="168" spans="1:27" x14ac:dyDescent="0.35">
      <c r="A168">
        <v>2502</v>
      </c>
      <c r="B168">
        <v>0</v>
      </c>
      <c r="C168" s="1">
        <v>34370</v>
      </c>
      <c r="D168">
        <v>6</v>
      </c>
      <c r="E168" t="s">
        <v>20</v>
      </c>
      <c r="F168" t="s">
        <v>192</v>
      </c>
      <c r="G168" s="1">
        <v>34370</v>
      </c>
      <c r="H168" s="2">
        <v>32329.09</v>
      </c>
      <c r="I168" s="2">
        <f t="shared" si="2"/>
        <v>-32328.09</v>
      </c>
      <c r="J168">
        <v>1</v>
      </c>
      <c r="K168" t="s">
        <v>23</v>
      </c>
      <c r="L168">
        <v>10700040</v>
      </c>
      <c r="M168" t="s">
        <v>65</v>
      </c>
      <c r="N168">
        <v>33000</v>
      </c>
      <c r="O168" t="s">
        <v>30</v>
      </c>
      <c r="P168" t="s">
        <v>527</v>
      </c>
      <c r="Q168" t="s">
        <v>31</v>
      </c>
      <c r="R168">
        <v>164500</v>
      </c>
      <c r="S168" t="s">
        <v>63</v>
      </c>
      <c r="T168">
        <v>1</v>
      </c>
      <c r="U168">
        <v>0</v>
      </c>
      <c r="V168">
        <v>0</v>
      </c>
      <c r="W168">
        <v>0</v>
      </c>
      <c r="X168">
        <v>0</v>
      </c>
      <c r="Y168" s="2">
        <v>-10822.64</v>
      </c>
      <c r="Z168" s="2">
        <v>10823.64</v>
      </c>
      <c r="AA168">
        <v>0</v>
      </c>
    </row>
    <row r="169" spans="1:27" x14ac:dyDescent="0.35">
      <c r="A169">
        <v>2503</v>
      </c>
      <c r="B169">
        <v>0</v>
      </c>
      <c r="C169" s="1">
        <v>34370</v>
      </c>
      <c r="D169">
        <v>4</v>
      </c>
      <c r="E169" t="s">
        <v>20</v>
      </c>
      <c r="F169" t="s">
        <v>193</v>
      </c>
      <c r="G169" s="1">
        <v>34370</v>
      </c>
      <c r="H169" s="2">
        <v>37298.18</v>
      </c>
      <c r="I169" s="2">
        <f t="shared" si="2"/>
        <v>-37297.18</v>
      </c>
      <c r="J169">
        <v>1</v>
      </c>
      <c r="K169" t="s">
        <v>23</v>
      </c>
      <c r="L169">
        <v>10700040</v>
      </c>
      <c r="M169" t="s">
        <v>65</v>
      </c>
      <c r="N169">
        <v>33000</v>
      </c>
      <c r="O169" t="s">
        <v>30</v>
      </c>
      <c r="P169" t="s">
        <v>527</v>
      </c>
      <c r="Q169" t="s">
        <v>31</v>
      </c>
      <c r="R169">
        <v>164500</v>
      </c>
      <c r="S169" t="s">
        <v>63</v>
      </c>
      <c r="T169">
        <v>1</v>
      </c>
      <c r="U169">
        <v>0</v>
      </c>
      <c r="V169">
        <v>0</v>
      </c>
      <c r="W169">
        <v>0</v>
      </c>
      <c r="X169">
        <v>0</v>
      </c>
      <c r="Y169" s="2">
        <v>-187271.73</v>
      </c>
      <c r="Z169" s="2">
        <v>187272.73</v>
      </c>
      <c r="AA169">
        <v>0</v>
      </c>
    </row>
    <row r="170" spans="1:27" x14ac:dyDescent="0.35">
      <c r="A170">
        <v>2500</v>
      </c>
      <c r="B170">
        <v>0</v>
      </c>
      <c r="C170" s="1">
        <v>34451</v>
      </c>
      <c r="D170">
        <v>1</v>
      </c>
      <c r="E170" t="s">
        <v>20</v>
      </c>
      <c r="F170" t="s">
        <v>194</v>
      </c>
      <c r="G170" s="1">
        <v>34451</v>
      </c>
      <c r="H170" s="2">
        <v>8809.09</v>
      </c>
      <c r="I170" s="2">
        <f t="shared" si="2"/>
        <v>-8808.09</v>
      </c>
      <c r="J170">
        <v>1</v>
      </c>
      <c r="K170" t="s">
        <v>23</v>
      </c>
      <c r="L170">
        <v>10700040</v>
      </c>
      <c r="M170" t="s">
        <v>65</v>
      </c>
      <c r="N170">
        <v>33000</v>
      </c>
      <c r="O170" t="s">
        <v>30</v>
      </c>
      <c r="P170" t="s">
        <v>527</v>
      </c>
      <c r="Q170" t="s">
        <v>31</v>
      </c>
      <c r="R170">
        <v>164500</v>
      </c>
      <c r="S170" t="s">
        <v>63</v>
      </c>
      <c r="T170">
        <v>1</v>
      </c>
      <c r="U170">
        <v>0</v>
      </c>
      <c r="V170">
        <v>0</v>
      </c>
      <c r="W170">
        <v>0</v>
      </c>
      <c r="X170">
        <v>0</v>
      </c>
      <c r="Y170" s="2">
        <v>-172726.27</v>
      </c>
      <c r="Z170" s="2">
        <v>172727.27</v>
      </c>
      <c r="AA170">
        <v>0</v>
      </c>
    </row>
    <row r="171" spans="1:27" x14ac:dyDescent="0.35">
      <c r="A171">
        <v>2498</v>
      </c>
      <c r="B171">
        <v>0</v>
      </c>
      <c r="C171" s="1">
        <v>34480</v>
      </c>
      <c r="D171">
        <v>1</v>
      </c>
      <c r="E171" t="s">
        <v>20</v>
      </c>
      <c r="F171" t="s">
        <v>197</v>
      </c>
      <c r="G171" s="1">
        <v>34480</v>
      </c>
      <c r="H171" s="2">
        <v>31796.36</v>
      </c>
      <c r="I171" s="2">
        <f t="shared" si="2"/>
        <v>-31795.360000000001</v>
      </c>
      <c r="J171">
        <v>1</v>
      </c>
      <c r="K171" t="s">
        <v>23</v>
      </c>
      <c r="L171">
        <v>10700040</v>
      </c>
      <c r="M171" t="s">
        <v>65</v>
      </c>
      <c r="N171">
        <v>33000</v>
      </c>
      <c r="O171" t="s">
        <v>30</v>
      </c>
      <c r="P171" t="s">
        <v>527</v>
      </c>
      <c r="Q171" t="s">
        <v>31</v>
      </c>
      <c r="R171">
        <v>164500</v>
      </c>
      <c r="S171" t="s">
        <v>63</v>
      </c>
      <c r="T171">
        <v>1</v>
      </c>
      <c r="U171">
        <v>0</v>
      </c>
      <c r="V171">
        <v>0</v>
      </c>
      <c r="W171">
        <v>0</v>
      </c>
      <c r="X171">
        <v>0</v>
      </c>
      <c r="Y171" s="2">
        <v>-5544.45</v>
      </c>
      <c r="Z171" s="2">
        <v>5545.45</v>
      </c>
      <c r="AA171">
        <v>0</v>
      </c>
    </row>
    <row r="172" spans="1:27" x14ac:dyDescent="0.35">
      <c r="A172">
        <v>2499</v>
      </c>
      <c r="B172">
        <v>0</v>
      </c>
      <c r="C172" s="1">
        <v>34480</v>
      </c>
      <c r="D172">
        <v>1</v>
      </c>
      <c r="E172" t="s">
        <v>20</v>
      </c>
      <c r="F172" t="s">
        <v>198</v>
      </c>
      <c r="G172" s="1">
        <v>34480</v>
      </c>
      <c r="H172" s="2">
        <v>34150</v>
      </c>
      <c r="I172" s="2">
        <f t="shared" si="2"/>
        <v>-34149</v>
      </c>
      <c r="J172">
        <v>1</v>
      </c>
      <c r="K172" t="s">
        <v>23</v>
      </c>
      <c r="L172">
        <v>10700040</v>
      </c>
      <c r="M172" t="s">
        <v>65</v>
      </c>
      <c r="N172">
        <v>33000</v>
      </c>
      <c r="O172" t="s">
        <v>30</v>
      </c>
      <c r="P172" t="s">
        <v>527</v>
      </c>
      <c r="Q172" t="s">
        <v>31</v>
      </c>
      <c r="R172">
        <v>164500</v>
      </c>
      <c r="S172" t="s">
        <v>63</v>
      </c>
      <c r="T172">
        <v>1</v>
      </c>
      <c r="U172">
        <v>0</v>
      </c>
      <c r="V172">
        <v>0</v>
      </c>
      <c r="W172">
        <v>0</v>
      </c>
      <c r="X172">
        <v>0</v>
      </c>
      <c r="Y172" s="2">
        <v>-166362.64000000001</v>
      </c>
      <c r="Z172" s="2">
        <v>166363.64000000001</v>
      </c>
      <c r="AA172">
        <v>0</v>
      </c>
    </row>
    <row r="173" spans="1:27" x14ac:dyDescent="0.35">
      <c r="A173">
        <v>2497</v>
      </c>
      <c r="B173">
        <v>0</v>
      </c>
      <c r="C173" s="1">
        <v>34682</v>
      </c>
      <c r="D173">
        <v>3</v>
      </c>
      <c r="E173" t="s">
        <v>20</v>
      </c>
      <c r="F173" t="s">
        <v>202</v>
      </c>
      <c r="G173" s="1">
        <v>34682</v>
      </c>
      <c r="H173" s="2">
        <v>23604.54</v>
      </c>
      <c r="I173" s="2">
        <f t="shared" si="2"/>
        <v>-23603.54</v>
      </c>
      <c r="J173">
        <v>1</v>
      </c>
      <c r="K173" t="s">
        <v>23</v>
      </c>
      <c r="L173">
        <v>10700040</v>
      </c>
      <c r="M173" t="s">
        <v>65</v>
      </c>
      <c r="N173">
        <v>33000</v>
      </c>
      <c r="O173" t="s">
        <v>30</v>
      </c>
      <c r="P173" t="s">
        <v>527</v>
      </c>
      <c r="Q173" t="s">
        <v>31</v>
      </c>
      <c r="R173">
        <v>164500</v>
      </c>
      <c r="S173" t="s">
        <v>63</v>
      </c>
      <c r="T173">
        <v>1</v>
      </c>
      <c r="U173">
        <v>0</v>
      </c>
      <c r="V173">
        <v>0</v>
      </c>
      <c r="W173">
        <v>0</v>
      </c>
      <c r="X173">
        <v>0</v>
      </c>
      <c r="Y173" s="2">
        <v>-42108.480000000003</v>
      </c>
      <c r="Z173" s="2">
        <v>42109.48</v>
      </c>
      <c r="AA173">
        <v>0</v>
      </c>
    </row>
    <row r="174" spans="1:27" x14ac:dyDescent="0.35">
      <c r="A174">
        <v>2495</v>
      </c>
      <c r="B174">
        <v>0</v>
      </c>
      <c r="C174" s="1">
        <v>34801</v>
      </c>
      <c r="D174">
        <v>1</v>
      </c>
      <c r="E174" t="s">
        <v>20</v>
      </c>
      <c r="F174" t="s">
        <v>205</v>
      </c>
      <c r="G174" s="1">
        <v>34801</v>
      </c>
      <c r="H174" s="2">
        <v>9462.5</v>
      </c>
      <c r="I174" s="2">
        <f t="shared" si="2"/>
        <v>-9461.5</v>
      </c>
      <c r="J174">
        <v>1</v>
      </c>
      <c r="K174" t="s">
        <v>23</v>
      </c>
      <c r="L174">
        <v>10700040</v>
      </c>
      <c r="M174" t="s">
        <v>65</v>
      </c>
      <c r="N174">
        <v>33000</v>
      </c>
      <c r="O174" t="s">
        <v>30</v>
      </c>
      <c r="P174" t="s">
        <v>527</v>
      </c>
      <c r="Q174" t="s">
        <v>31</v>
      </c>
      <c r="R174">
        <v>164500</v>
      </c>
      <c r="S174" t="s">
        <v>63</v>
      </c>
      <c r="T174">
        <v>1</v>
      </c>
      <c r="U174">
        <v>0</v>
      </c>
      <c r="V174">
        <v>0</v>
      </c>
      <c r="W174">
        <v>0</v>
      </c>
      <c r="X174">
        <v>0</v>
      </c>
      <c r="Y174" s="2">
        <v>-75634.31</v>
      </c>
      <c r="Z174" s="2">
        <v>75635.31</v>
      </c>
      <c r="AA174">
        <v>0</v>
      </c>
    </row>
    <row r="175" spans="1:27" x14ac:dyDescent="0.35">
      <c r="A175">
        <v>2496</v>
      </c>
      <c r="B175">
        <v>0</v>
      </c>
      <c r="C175" s="1">
        <v>34801</v>
      </c>
      <c r="D175">
        <v>1</v>
      </c>
      <c r="E175" t="s">
        <v>20</v>
      </c>
      <c r="F175" t="s">
        <v>205</v>
      </c>
      <c r="G175" s="1">
        <v>34801</v>
      </c>
      <c r="H175" s="2">
        <v>6545.45</v>
      </c>
      <c r="I175" s="2">
        <f t="shared" si="2"/>
        <v>-6544.45</v>
      </c>
      <c r="J175">
        <v>1</v>
      </c>
      <c r="K175" t="s">
        <v>23</v>
      </c>
      <c r="L175">
        <v>10700040</v>
      </c>
      <c r="M175" t="s">
        <v>65</v>
      </c>
      <c r="N175">
        <v>33000</v>
      </c>
      <c r="O175" t="s">
        <v>30</v>
      </c>
      <c r="P175" t="s">
        <v>527</v>
      </c>
      <c r="Q175" t="s">
        <v>31</v>
      </c>
      <c r="R175">
        <v>164500</v>
      </c>
      <c r="S175" t="s">
        <v>63</v>
      </c>
      <c r="T175">
        <v>1</v>
      </c>
      <c r="U175">
        <v>0</v>
      </c>
      <c r="V175">
        <v>0</v>
      </c>
      <c r="W175">
        <v>0</v>
      </c>
      <c r="X175">
        <v>0</v>
      </c>
      <c r="Y175" s="2">
        <v>-249091.4</v>
      </c>
      <c r="Z175" s="2">
        <v>249092.4</v>
      </c>
      <c r="AA175">
        <v>0</v>
      </c>
    </row>
    <row r="176" spans="1:27" x14ac:dyDescent="0.35">
      <c r="A176">
        <v>2494</v>
      </c>
      <c r="B176">
        <v>0</v>
      </c>
      <c r="C176" s="1">
        <v>34804</v>
      </c>
      <c r="D176">
        <v>1</v>
      </c>
      <c r="E176" t="s">
        <v>20</v>
      </c>
      <c r="F176" t="s">
        <v>205</v>
      </c>
      <c r="G176" s="1">
        <v>34804</v>
      </c>
      <c r="H176" s="2">
        <v>9462.5</v>
      </c>
      <c r="I176" s="2">
        <f t="shared" si="2"/>
        <v>-9461.5</v>
      </c>
      <c r="J176">
        <v>1</v>
      </c>
      <c r="K176" t="s">
        <v>23</v>
      </c>
      <c r="L176">
        <v>10700040</v>
      </c>
      <c r="M176" t="s">
        <v>65</v>
      </c>
      <c r="N176">
        <v>33000</v>
      </c>
      <c r="O176" t="s">
        <v>30</v>
      </c>
      <c r="P176" t="s">
        <v>527</v>
      </c>
      <c r="Q176" t="s">
        <v>31</v>
      </c>
      <c r="R176">
        <v>164500</v>
      </c>
      <c r="S176" t="s">
        <v>63</v>
      </c>
      <c r="T176">
        <v>1</v>
      </c>
      <c r="U176">
        <v>0</v>
      </c>
      <c r="V176">
        <v>0</v>
      </c>
      <c r="W176">
        <v>0</v>
      </c>
      <c r="X176">
        <v>0</v>
      </c>
      <c r="Y176" s="2">
        <v>-15780.82</v>
      </c>
      <c r="Z176" s="2">
        <v>15781.82</v>
      </c>
      <c r="AA176">
        <v>0</v>
      </c>
    </row>
    <row r="177" spans="1:27" x14ac:dyDescent="0.35">
      <c r="A177">
        <v>2490</v>
      </c>
      <c r="B177">
        <v>0</v>
      </c>
      <c r="C177" s="1">
        <v>34831</v>
      </c>
      <c r="D177">
        <v>1</v>
      </c>
      <c r="E177" t="s">
        <v>20</v>
      </c>
      <c r="F177" t="s">
        <v>206</v>
      </c>
      <c r="G177" s="1">
        <v>34831</v>
      </c>
      <c r="H177" s="2">
        <v>10223.18</v>
      </c>
      <c r="I177" s="2">
        <f t="shared" si="2"/>
        <v>-10222.18</v>
      </c>
      <c r="J177">
        <v>1</v>
      </c>
      <c r="K177" t="s">
        <v>23</v>
      </c>
      <c r="L177">
        <v>10700040</v>
      </c>
      <c r="M177" t="s">
        <v>65</v>
      </c>
      <c r="N177">
        <v>33000</v>
      </c>
      <c r="O177" t="s">
        <v>30</v>
      </c>
      <c r="P177" t="s">
        <v>527</v>
      </c>
      <c r="Q177" t="s">
        <v>31</v>
      </c>
      <c r="R177">
        <v>164500</v>
      </c>
      <c r="S177" t="s">
        <v>63</v>
      </c>
      <c r="T177">
        <v>1</v>
      </c>
      <c r="U177">
        <v>0</v>
      </c>
      <c r="V177">
        <v>0</v>
      </c>
      <c r="W177">
        <v>0</v>
      </c>
      <c r="X177">
        <v>0</v>
      </c>
      <c r="Y177" s="2">
        <v>-14993.45</v>
      </c>
      <c r="Z177" s="2">
        <v>14994.45</v>
      </c>
      <c r="AA177">
        <v>0</v>
      </c>
    </row>
    <row r="178" spans="1:27" x14ac:dyDescent="0.35">
      <c r="A178">
        <v>2491</v>
      </c>
      <c r="B178">
        <v>0</v>
      </c>
      <c r="C178" s="1">
        <v>34831</v>
      </c>
      <c r="D178">
        <v>1</v>
      </c>
      <c r="E178" t="s">
        <v>20</v>
      </c>
      <c r="F178" t="s">
        <v>207</v>
      </c>
      <c r="G178" s="1">
        <v>34831</v>
      </c>
      <c r="H178" s="2">
        <v>18197.73</v>
      </c>
      <c r="I178" s="2">
        <f t="shared" si="2"/>
        <v>-18196.73</v>
      </c>
      <c r="J178">
        <v>1</v>
      </c>
      <c r="K178" t="s">
        <v>23</v>
      </c>
      <c r="L178">
        <v>10700040</v>
      </c>
      <c r="M178" t="s">
        <v>65</v>
      </c>
      <c r="N178">
        <v>33000</v>
      </c>
      <c r="O178" t="s">
        <v>30</v>
      </c>
      <c r="P178" t="s">
        <v>527</v>
      </c>
      <c r="Q178" t="s">
        <v>31</v>
      </c>
      <c r="R178">
        <v>164500</v>
      </c>
      <c r="S178" t="s">
        <v>63</v>
      </c>
      <c r="T178">
        <v>1</v>
      </c>
      <c r="U178">
        <v>0</v>
      </c>
      <c r="V178">
        <v>0</v>
      </c>
      <c r="W178">
        <v>0</v>
      </c>
      <c r="X178">
        <v>0</v>
      </c>
      <c r="Y178" s="2">
        <v>-24089.91</v>
      </c>
      <c r="Z178" s="2">
        <v>24090.91</v>
      </c>
      <c r="AA178">
        <v>0</v>
      </c>
    </row>
    <row r="179" spans="1:27" x14ac:dyDescent="0.35">
      <c r="A179">
        <v>2492</v>
      </c>
      <c r="B179">
        <v>0</v>
      </c>
      <c r="C179" s="1">
        <v>34831</v>
      </c>
      <c r="D179">
        <v>1</v>
      </c>
      <c r="E179" t="s">
        <v>20</v>
      </c>
      <c r="F179" t="s">
        <v>208</v>
      </c>
      <c r="G179" s="1">
        <v>34831</v>
      </c>
      <c r="H179" s="2">
        <v>7626.82</v>
      </c>
      <c r="I179" s="2">
        <f t="shared" si="2"/>
        <v>-7625.82</v>
      </c>
      <c r="J179">
        <v>1</v>
      </c>
      <c r="K179" t="s">
        <v>23</v>
      </c>
      <c r="L179">
        <v>10700040</v>
      </c>
      <c r="M179" t="s">
        <v>65</v>
      </c>
      <c r="N179">
        <v>33000</v>
      </c>
      <c r="O179" t="s">
        <v>30</v>
      </c>
      <c r="P179" t="s">
        <v>527</v>
      </c>
      <c r="Q179" t="s">
        <v>31</v>
      </c>
      <c r="R179">
        <v>164500</v>
      </c>
      <c r="S179" t="s">
        <v>63</v>
      </c>
      <c r="T179">
        <v>1</v>
      </c>
      <c r="U179">
        <v>0</v>
      </c>
      <c r="V179">
        <v>0</v>
      </c>
      <c r="W179">
        <v>0</v>
      </c>
      <c r="X179">
        <v>0</v>
      </c>
      <c r="Y179" s="2">
        <v>-14999</v>
      </c>
      <c r="Z179" s="2">
        <v>15000</v>
      </c>
      <c r="AA179">
        <v>0</v>
      </c>
    </row>
    <row r="180" spans="1:27" x14ac:dyDescent="0.35">
      <c r="A180">
        <v>2493</v>
      </c>
      <c r="B180">
        <v>0</v>
      </c>
      <c r="C180" s="1">
        <v>34831</v>
      </c>
      <c r="D180">
        <v>1</v>
      </c>
      <c r="E180" t="s">
        <v>20</v>
      </c>
      <c r="F180" t="s">
        <v>209</v>
      </c>
      <c r="G180" s="1">
        <v>34831</v>
      </c>
      <c r="H180" s="2">
        <v>15740.45</v>
      </c>
      <c r="I180" s="2">
        <f t="shared" si="2"/>
        <v>-15739.45</v>
      </c>
      <c r="J180">
        <v>1</v>
      </c>
      <c r="K180" t="s">
        <v>23</v>
      </c>
      <c r="L180">
        <v>10700040</v>
      </c>
      <c r="M180" t="s">
        <v>65</v>
      </c>
      <c r="N180">
        <v>33000</v>
      </c>
      <c r="O180" t="s">
        <v>30</v>
      </c>
      <c r="P180" t="s">
        <v>527</v>
      </c>
      <c r="Q180" t="s">
        <v>31</v>
      </c>
      <c r="R180">
        <v>164500</v>
      </c>
      <c r="S180" t="s">
        <v>63</v>
      </c>
      <c r="T180">
        <v>1</v>
      </c>
      <c r="U180">
        <v>0</v>
      </c>
      <c r="V180">
        <v>0</v>
      </c>
      <c r="W180">
        <v>0</v>
      </c>
      <c r="X180">
        <v>0</v>
      </c>
      <c r="Y180" s="2">
        <v>-11271.73</v>
      </c>
      <c r="Z180" s="2">
        <v>11272.73</v>
      </c>
      <c r="AA180">
        <v>0</v>
      </c>
    </row>
    <row r="181" spans="1:27" x14ac:dyDescent="0.35">
      <c r="A181">
        <v>2489</v>
      </c>
      <c r="B181">
        <v>0</v>
      </c>
      <c r="C181" s="1">
        <v>34837</v>
      </c>
      <c r="D181">
        <v>1</v>
      </c>
      <c r="E181" t="s">
        <v>20</v>
      </c>
      <c r="F181" t="s">
        <v>210</v>
      </c>
      <c r="G181" s="1">
        <v>34837</v>
      </c>
      <c r="H181" s="2">
        <v>8504.5499999999993</v>
      </c>
      <c r="I181" s="2">
        <f t="shared" si="2"/>
        <v>-8503.5499999999993</v>
      </c>
      <c r="J181">
        <v>1</v>
      </c>
      <c r="K181" t="s">
        <v>23</v>
      </c>
      <c r="L181">
        <v>10700040</v>
      </c>
      <c r="M181" t="s">
        <v>65</v>
      </c>
      <c r="N181">
        <v>33000</v>
      </c>
      <c r="O181" t="s">
        <v>30</v>
      </c>
      <c r="P181" t="s">
        <v>527</v>
      </c>
      <c r="Q181" t="s">
        <v>31</v>
      </c>
      <c r="R181">
        <v>164500</v>
      </c>
      <c r="S181" t="s">
        <v>63</v>
      </c>
      <c r="T181">
        <v>1</v>
      </c>
      <c r="U181">
        <v>0</v>
      </c>
      <c r="V181">
        <v>0</v>
      </c>
      <c r="W181">
        <v>0</v>
      </c>
      <c r="X181">
        <v>0</v>
      </c>
      <c r="Y181" s="2">
        <v>-9089.91</v>
      </c>
      <c r="Z181" s="2">
        <v>9090.91</v>
      </c>
      <c r="AA181">
        <v>0</v>
      </c>
    </row>
    <row r="182" spans="1:27" x14ac:dyDescent="0.35">
      <c r="A182">
        <v>2487</v>
      </c>
      <c r="B182">
        <v>0</v>
      </c>
      <c r="C182" s="1">
        <v>34846</v>
      </c>
      <c r="D182">
        <v>3</v>
      </c>
      <c r="E182" t="s">
        <v>20</v>
      </c>
      <c r="F182" t="s">
        <v>211</v>
      </c>
      <c r="G182" s="1">
        <v>34846</v>
      </c>
      <c r="H182" s="2">
        <v>63621.82</v>
      </c>
      <c r="I182" s="2">
        <f t="shared" si="2"/>
        <v>-63620.82</v>
      </c>
      <c r="J182">
        <v>1</v>
      </c>
      <c r="K182" t="s">
        <v>23</v>
      </c>
      <c r="L182">
        <v>10700040</v>
      </c>
      <c r="M182" t="s">
        <v>65</v>
      </c>
      <c r="N182">
        <v>33000</v>
      </c>
      <c r="O182" t="s">
        <v>30</v>
      </c>
      <c r="P182" t="s">
        <v>527</v>
      </c>
      <c r="Q182" t="s">
        <v>31</v>
      </c>
      <c r="R182">
        <v>164500</v>
      </c>
      <c r="S182" t="s">
        <v>63</v>
      </c>
      <c r="T182">
        <v>1</v>
      </c>
      <c r="U182">
        <v>0</v>
      </c>
      <c r="V182">
        <v>0</v>
      </c>
      <c r="W182">
        <v>0</v>
      </c>
      <c r="X182">
        <v>0</v>
      </c>
      <c r="Y182" s="2">
        <v>-13999</v>
      </c>
      <c r="Z182" s="2">
        <v>14000</v>
      </c>
      <c r="AA182">
        <v>0</v>
      </c>
    </row>
    <row r="183" spans="1:27" x14ac:dyDescent="0.35">
      <c r="A183">
        <v>2488</v>
      </c>
      <c r="B183">
        <v>0</v>
      </c>
      <c r="C183" s="1">
        <v>34846</v>
      </c>
      <c r="D183">
        <v>3</v>
      </c>
      <c r="E183" t="s">
        <v>20</v>
      </c>
      <c r="F183" t="s">
        <v>212</v>
      </c>
      <c r="G183" s="1">
        <v>34846</v>
      </c>
      <c r="H183" s="2">
        <v>58565.45</v>
      </c>
      <c r="I183" s="2">
        <f t="shared" si="2"/>
        <v>-58564.45</v>
      </c>
      <c r="J183">
        <v>1</v>
      </c>
      <c r="K183" t="s">
        <v>23</v>
      </c>
      <c r="L183">
        <v>10700040</v>
      </c>
      <c r="M183" t="s">
        <v>65</v>
      </c>
      <c r="N183">
        <v>33000</v>
      </c>
      <c r="O183" t="s">
        <v>30</v>
      </c>
      <c r="P183" t="s">
        <v>527</v>
      </c>
      <c r="Q183" t="s">
        <v>31</v>
      </c>
      <c r="R183">
        <v>164500</v>
      </c>
      <c r="S183" t="s">
        <v>63</v>
      </c>
      <c r="T183">
        <v>1</v>
      </c>
      <c r="U183">
        <v>0</v>
      </c>
      <c r="V183">
        <v>0</v>
      </c>
      <c r="W183">
        <v>0</v>
      </c>
      <c r="X183">
        <v>0</v>
      </c>
      <c r="Y183" s="2">
        <v>-23180.82</v>
      </c>
      <c r="Z183" s="2">
        <v>23181.82</v>
      </c>
      <c r="AA183">
        <v>0</v>
      </c>
    </row>
    <row r="184" spans="1:27" x14ac:dyDescent="0.35">
      <c r="A184">
        <v>2483</v>
      </c>
      <c r="B184">
        <v>0</v>
      </c>
      <c r="C184" s="1">
        <v>34848</v>
      </c>
      <c r="D184">
        <v>6</v>
      </c>
      <c r="E184" t="s">
        <v>20</v>
      </c>
      <c r="F184" t="s">
        <v>199</v>
      </c>
      <c r="G184" s="1">
        <v>34848</v>
      </c>
      <c r="H184" s="2">
        <v>72347.67</v>
      </c>
      <c r="I184" s="2">
        <f t="shared" si="2"/>
        <v>-72346.67</v>
      </c>
      <c r="J184">
        <v>1</v>
      </c>
      <c r="K184" t="s">
        <v>23</v>
      </c>
      <c r="L184">
        <v>10700040</v>
      </c>
      <c r="M184" t="s">
        <v>65</v>
      </c>
      <c r="N184">
        <v>33000</v>
      </c>
      <c r="O184" t="s">
        <v>30</v>
      </c>
      <c r="P184" t="s">
        <v>527</v>
      </c>
      <c r="Q184" t="s">
        <v>31</v>
      </c>
      <c r="R184">
        <v>164500</v>
      </c>
      <c r="S184" t="s">
        <v>63</v>
      </c>
      <c r="T184">
        <v>1</v>
      </c>
      <c r="U184">
        <v>0</v>
      </c>
      <c r="V184">
        <v>0</v>
      </c>
      <c r="W184">
        <v>0</v>
      </c>
      <c r="X184">
        <v>0</v>
      </c>
      <c r="Y184" s="2">
        <v>-43817.18</v>
      </c>
      <c r="Z184" s="2">
        <v>43818.18</v>
      </c>
      <c r="AA184">
        <v>0</v>
      </c>
    </row>
    <row r="185" spans="1:27" x14ac:dyDescent="0.35">
      <c r="A185">
        <v>2484</v>
      </c>
      <c r="B185">
        <v>0</v>
      </c>
      <c r="C185" s="1">
        <v>34848</v>
      </c>
      <c r="D185">
        <v>9</v>
      </c>
      <c r="E185" t="s">
        <v>20</v>
      </c>
      <c r="F185" t="s">
        <v>213</v>
      </c>
      <c r="G185" s="1">
        <v>34848</v>
      </c>
      <c r="H185" s="2">
        <v>50342.73</v>
      </c>
      <c r="I185" s="2">
        <f t="shared" si="2"/>
        <v>-50341.73</v>
      </c>
      <c r="J185">
        <v>1</v>
      </c>
      <c r="K185" t="s">
        <v>23</v>
      </c>
      <c r="L185">
        <v>10700040</v>
      </c>
      <c r="M185" t="s">
        <v>65</v>
      </c>
      <c r="N185">
        <v>33000</v>
      </c>
      <c r="O185" t="s">
        <v>30</v>
      </c>
      <c r="P185" t="s">
        <v>527</v>
      </c>
      <c r="Q185" t="s">
        <v>31</v>
      </c>
      <c r="R185">
        <v>164500</v>
      </c>
      <c r="S185" t="s">
        <v>63</v>
      </c>
      <c r="T185">
        <v>1</v>
      </c>
      <c r="U185">
        <v>0</v>
      </c>
      <c r="V185">
        <v>0</v>
      </c>
      <c r="W185">
        <v>0</v>
      </c>
      <c r="X185">
        <v>0</v>
      </c>
      <c r="Y185" s="2">
        <v>-5510.5</v>
      </c>
      <c r="Z185" s="2">
        <v>5511.5</v>
      </c>
      <c r="AA185">
        <v>0</v>
      </c>
    </row>
    <row r="186" spans="1:27" x14ac:dyDescent="0.35">
      <c r="A186">
        <v>2485</v>
      </c>
      <c r="B186">
        <v>0</v>
      </c>
      <c r="C186" s="1">
        <v>34848</v>
      </c>
      <c r="D186">
        <v>6</v>
      </c>
      <c r="E186" t="s">
        <v>20</v>
      </c>
      <c r="F186" t="s">
        <v>214</v>
      </c>
      <c r="G186" s="1">
        <v>34848</v>
      </c>
      <c r="H186" s="2">
        <v>45872.72</v>
      </c>
      <c r="I186" s="2">
        <f t="shared" si="2"/>
        <v>-45871.72</v>
      </c>
      <c r="J186">
        <v>1</v>
      </c>
      <c r="K186" t="s">
        <v>23</v>
      </c>
      <c r="L186">
        <v>10700040</v>
      </c>
      <c r="M186" t="s">
        <v>65</v>
      </c>
      <c r="N186">
        <v>33000</v>
      </c>
      <c r="O186" t="s">
        <v>30</v>
      </c>
      <c r="P186" t="s">
        <v>527</v>
      </c>
      <c r="Q186" t="s">
        <v>31</v>
      </c>
      <c r="R186">
        <v>164500</v>
      </c>
      <c r="S186" t="s">
        <v>63</v>
      </c>
      <c r="T186">
        <v>1</v>
      </c>
      <c r="U186">
        <v>0</v>
      </c>
      <c r="V186">
        <v>0</v>
      </c>
      <c r="W186">
        <v>0</v>
      </c>
      <c r="X186">
        <v>0</v>
      </c>
      <c r="Y186" s="2">
        <v>-5044.45</v>
      </c>
      <c r="Z186" s="2">
        <v>5045.45</v>
      </c>
      <c r="AA186">
        <v>0</v>
      </c>
    </row>
    <row r="187" spans="1:27" x14ac:dyDescent="0.35">
      <c r="A187">
        <v>2486</v>
      </c>
      <c r="B187">
        <v>0</v>
      </c>
      <c r="C187" s="1">
        <v>34848</v>
      </c>
      <c r="D187">
        <v>6</v>
      </c>
      <c r="E187" t="s">
        <v>20</v>
      </c>
      <c r="F187" t="s">
        <v>201</v>
      </c>
      <c r="G187" s="1">
        <v>34848</v>
      </c>
      <c r="H187" s="2">
        <v>88428.25</v>
      </c>
      <c r="I187" s="2">
        <f t="shared" si="2"/>
        <v>-88427.25</v>
      </c>
      <c r="J187">
        <v>1</v>
      </c>
      <c r="K187" t="s">
        <v>23</v>
      </c>
      <c r="L187">
        <v>10700040</v>
      </c>
      <c r="M187" t="s">
        <v>65</v>
      </c>
      <c r="N187">
        <v>33000</v>
      </c>
      <c r="O187" t="s">
        <v>30</v>
      </c>
      <c r="P187" t="s">
        <v>527</v>
      </c>
      <c r="Q187" t="s">
        <v>31</v>
      </c>
      <c r="R187">
        <v>164500</v>
      </c>
      <c r="S187" t="s">
        <v>63</v>
      </c>
      <c r="T187">
        <v>1</v>
      </c>
      <c r="U187">
        <v>0</v>
      </c>
      <c r="V187">
        <v>0</v>
      </c>
      <c r="W187">
        <v>0</v>
      </c>
      <c r="X187">
        <v>0</v>
      </c>
      <c r="Y187" s="2">
        <v>-701476.94</v>
      </c>
      <c r="Z187" s="2">
        <v>701477.94</v>
      </c>
      <c r="AA187">
        <v>0</v>
      </c>
    </row>
    <row r="188" spans="1:27" x14ac:dyDescent="0.35">
      <c r="A188">
        <v>2482</v>
      </c>
      <c r="B188">
        <v>0</v>
      </c>
      <c r="C188" s="1">
        <v>34887</v>
      </c>
      <c r="D188">
        <v>4</v>
      </c>
      <c r="E188" t="s">
        <v>20</v>
      </c>
      <c r="F188" t="s">
        <v>220</v>
      </c>
      <c r="G188" s="1">
        <v>34887</v>
      </c>
      <c r="H188" s="2">
        <v>128181.82</v>
      </c>
      <c r="I188" s="2">
        <f t="shared" si="2"/>
        <v>-128180.82</v>
      </c>
      <c r="J188">
        <v>1</v>
      </c>
      <c r="K188" t="s">
        <v>23</v>
      </c>
      <c r="L188">
        <v>10700040</v>
      </c>
      <c r="M188" t="s">
        <v>65</v>
      </c>
      <c r="N188">
        <v>33000</v>
      </c>
      <c r="O188" t="s">
        <v>30</v>
      </c>
      <c r="P188" t="s">
        <v>527</v>
      </c>
      <c r="Q188" t="s">
        <v>31</v>
      </c>
      <c r="R188">
        <v>164500</v>
      </c>
      <c r="S188" t="s">
        <v>63</v>
      </c>
      <c r="T188">
        <v>1</v>
      </c>
      <c r="U188">
        <v>0</v>
      </c>
      <c r="V188">
        <v>0</v>
      </c>
      <c r="W188">
        <v>0</v>
      </c>
      <c r="X188">
        <v>0</v>
      </c>
      <c r="Y188" s="2">
        <v>-21404.45</v>
      </c>
      <c r="Z188" s="2">
        <v>21405.45</v>
      </c>
      <c r="AA188">
        <v>0</v>
      </c>
    </row>
    <row r="189" spans="1:27" x14ac:dyDescent="0.35">
      <c r="A189">
        <v>2662</v>
      </c>
      <c r="B189">
        <v>0</v>
      </c>
      <c r="C189" s="1">
        <v>34894</v>
      </c>
      <c r="D189">
        <v>1</v>
      </c>
      <c r="E189" t="s">
        <v>20</v>
      </c>
      <c r="F189" t="s">
        <v>221</v>
      </c>
      <c r="G189" s="1">
        <v>34894</v>
      </c>
      <c r="H189" s="2">
        <v>5909.09</v>
      </c>
      <c r="I189" s="2">
        <f t="shared" si="2"/>
        <v>-5908.09</v>
      </c>
      <c r="J189">
        <v>1</v>
      </c>
      <c r="K189" t="s">
        <v>23</v>
      </c>
      <c r="L189">
        <v>30700040</v>
      </c>
      <c r="M189" t="s">
        <v>62</v>
      </c>
      <c r="N189">
        <v>33000</v>
      </c>
      <c r="O189" t="s">
        <v>30</v>
      </c>
      <c r="P189" t="s">
        <v>527</v>
      </c>
      <c r="Q189" t="s">
        <v>31</v>
      </c>
      <c r="R189">
        <v>164500</v>
      </c>
      <c r="S189" t="s">
        <v>63</v>
      </c>
      <c r="T189">
        <v>1</v>
      </c>
      <c r="U189">
        <v>0</v>
      </c>
      <c r="V189">
        <v>0</v>
      </c>
      <c r="W189">
        <v>0</v>
      </c>
      <c r="X189">
        <v>0</v>
      </c>
      <c r="Y189" s="2">
        <v>-134243</v>
      </c>
      <c r="Z189" s="2">
        <v>134244</v>
      </c>
      <c r="AA189">
        <v>0</v>
      </c>
    </row>
    <row r="190" spans="1:27" x14ac:dyDescent="0.35">
      <c r="A190">
        <v>2481</v>
      </c>
      <c r="B190">
        <v>0</v>
      </c>
      <c r="C190" s="1">
        <v>34963</v>
      </c>
      <c r="D190">
        <v>1</v>
      </c>
      <c r="E190" t="s">
        <v>20</v>
      </c>
      <c r="F190" t="s">
        <v>222</v>
      </c>
      <c r="G190" s="1">
        <v>34963</v>
      </c>
      <c r="H190" s="2">
        <v>25909.09</v>
      </c>
      <c r="I190" s="2">
        <f t="shared" si="2"/>
        <v>-25908.09</v>
      </c>
      <c r="J190">
        <v>1</v>
      </c>
      <c r="K190" t="s">
        <v>23</v>
      </c>
      <c r="L190">
        <v>10700040</v>
      </c>
      <c r="M190" t="s">
        <v>65</v>
      </c>
      <c r="N190">
        <v>33000</v>
      </c>
      <c r="O190" t="s">
        <v>30</v>
      </c>
      <c r="P190" t="s">
        <v>527</v>
      </c>
      <c r="Q190" t="s">
        <v>31</v>
      </c>
      <c r="R190">
        <v>164500</v>
      </c>
      <c r="S190" t="s">
        <v>63</v>
      </c>
      <c r="T190">
        <v>1</v>
      </c>
      <c r="U190">
        <v>0</v>
      </c>
      <c r="V190">
        <v>0</v>
      </c>
      <c r="W190">
        <v>0</v>
      </c>
      <c r="X190">
        <v>0</v>
      </c>
      <c r="Y190" s="2">
        <v>-82562.64</v>
      </c>
      <c r="Z190" s="2">
        <v>82563.64</v>
      </c>
      <c r="AA190">
        <v>0</v>
      </c>
    </row>
    <row r="191" spans="1:27" x14ac:dyDescent="0.35">
      <c r="A191">
        <v>2480</v>
      </c>
      <c r="B191">
        <v>0</v>
      </c>
      <c r="C191" s="1">
        <v>34988</v>
      </c>
      <c r="D191">
        <v>2</v>
      </c>
      <c r="E191" t="s">
        <v>20</v>
      </c>
      <c r="F191" t="s">
        <v>223</v>
      </c>
      <c r="G191" s="1">
        <v>34988</v>
      </c>
      <c r="H191" s="2">
        <v>16295.45</v>
      </c>
      <c r="I191" s="2">
        <f t="shared" si="2"/>
        <v>-16294.45</v>
      </c>
      <c r="J191">
        <v>1</v>
      </c>
      <c r="K191" t="s">
        <v>23</v>
      </c>
      <c r="L191">
        <v>10700040</v>
      </c>
      <c r="M191" t="s">
        <v>65</v>
      </c>
      <c r="N191">
        <v>33000</v>
      </c>
      <c r="O191" t="s">
        <v>30</v>
      </c>
      <c r="P191" t="s">
        <v>527</v>
      </c>
      <c r="Q191" t="s">
        <v>31</v>
      </c>
      <c r="R191">
        <v>164500</v>
      </c>
      <c r="S191" t="s">
        <v>63</v>
      </c>
      <c r="T191">
        <v>1</v>
      </c>
      <c r="U191">
        <v>0</v>
      </c>
      <c r="V191">
        <v>0</v>
      </c>
      <c r="W191">
        <v>0</v>
      </c>
      <c r="X191">
        <v>0</v>
      </c>
      <c r="Y191" s="2">
        <v>-10355.36</v>
      </c>
      <c r="Z191" s="2">
        <v>10356.36</v>
      </c>
      <c r="AA191">
        <v>0</v>
      </c>
    </row>
    <row r="192" spans="1:27" x14ac:dyDescent="0.35">
      <c r="A192">
        <v>2479</v>
      </c>
      <c r="B192">
        <v>0</v>
      </c>
      <c r="C192" s="1">
        <v>35031</v>
      </c>
      <c r="D192">
        <v>1</v>
      </c>
      <c r="E192" t="s">
        <v>20</v>
      </c>
      <c r="F192" t="s">
        <v>225</v>
      </c>
      <c r="G192" s="1">
        <v>35031</v>
      </c>
      <c r="H192" s="2">
        <v>187272.73</v>
      </c>
      <c r="I192" s="2">
        <f t="shared" si="2"/>
        <v>-187271.73</v>
      </c>
      <c r="J192">
        <v>1</v>
      </c>
      <c r="K192" t="s">
        <v>23</v>
      </c>
      <c r="L192">
        <v>10700040</v>
      </c>
      <c r="M192" t="s">
        <v>65</v>
      </c>
      <c r="N192">
        <v>33000</v>
      </c>
      <c r="O192" t="s">
        <v>30</v>
      </c>
      <c r="P192" t="s">
        <v>527</v>
      </c>
      <c r="Q192" t="s">
        <v>31</v>
      </c>
      <c r="R192">
        <v>164500</v>
      </c>
      <c r="S192" t="s">
        <v>63</v>
      </c>
      <c r="T192">
        <v>1</v>
      </c>
      <c r="U192">
        <v>0</v>
      </c>
      <c r="V192">
        <v>0</v>
      </c>
      <c r="W192">
        <v>0</v>
      </c>
      <c r="X192">
        <v>0</v>
      </c>
      <c r="Y192" s="2">
        <v>-84712.6</v>
      </c>
      <c r="Z192" s="2">
        <v>84713.600000000006</v>
      </c>
      <c r="AA192">
        <v>0</v>
      </c>
    </row>
    <row r="193" spans="1:27" x14ac:dyDescent="0.35">
      <c r="A193">
        <v>2478</v>
      </c>
      <c r="B193">
        <v>0</v>
      </c>
      <c r="C193" s="1">
        <v>35040</v>
      </c>
      <c r="D193">
        <v>1</v>
      </c>
      <c r="E193" t="s">
        <v>20</v>
      </c>
      <c r="F193" t="s">
        <v>226</v>
      </c>
      <c r="G193" s="1">
        <v>35040</v>
      </c>
      <c r="H193" s="2">
        <v>172727.27</v>
      </c>
      <c r="I193" s="2">
        <f t="shared" si="2"/>
        <v>-172726.27</v>
      </c>
      <c r="J193">
        <v>1</v>
      </c>
      <c r="K193" t="s">
        <v>23</v>
      </c>
      <c r="L193">
        <v>10700040</v>
      </c>
      <c r="M193" t="s">
        <v>65</v>
      </c>
      <c r="N193">
        <v>33000</v>
      </c>
      <c r="O193" t="s">
        <v>30</v>
      </c>
      <c r="P193" t="s">
        <v>527</v>
      </c>
      <c r="Q193" t="s">
        <v>31</v>
      </c>
      <c r="R193">
        <v>164500</v>
      </c>
      <c r="S193" t="s">
        <v>63</v>
      </c>
      <c r="T193">
        <v>1</v>
      </c>
      <c r="U193">
        <v>0</v>
      </c>
      <c r="V193">
        <v>0</v>
      </c>
      <c r="W193">
        <v>0</v>
      </c>
      <c r="X193">
        <v>0</v>
      </c>
      <c r="Y193" s="2">
        <v>-14993.45</v>
      </c>
      <c r="Z193" s="2">
        <v>14994.45</v>
      </c>
      <c r="AA193">
        <v>0</v>
      </c>
    </row>
    <row r="194" spans="1:27" x14ac:dyDescent="0.35">
      <c r="A194">
        <v>2477</v>
      </c>
      <c r="B194">
        <v>0</v>
      </c>
      <c r="C194" s="1">
        <v>35098</v>
      </c>
      <c r="D194">
        <v>4</v>
      </c>
      <c r="E194" t="s">
        <v>20</v>
      </c>
      <c r="F194" t="s">
        <v>229</v>
      </c>
      <c r="G194" s="1">
        <v>35098</v>
      </c>
      <c r="H194" s="2">
        <v>42109.48</v>
      </c>
      <c r="I194" s="2">
        <f t="shared" ref="I194:I257" si="3">J194-H194</f>
        <v>-42108.480000000003</v>
      </c>
      <c r="J194">
        <v>1</v>
      </c>
      <c r="K194" t="s">
        <v>23</v>
      </c>
      <c r="L194">
        <v>10700040</v>
      </c>
      <c r="M194" t="s">
        <v>65</v>
      </c>
      <c r="N194">
        <v>33000</v>
      </c>
      <c r="O194" t="s">
        <v>30</v>
      </c>
      <c r="P194" t="s">
        <v>527</v>
      </c>
      <c r="Q194" t="s">
        <v>31</v>
      </c>
      <c r="R194">
        <v>164500</v>
      </c>
      <c r="S194" t="s">
        <v>63</v>
      </c>
      <c r="T194">
        <v>1</v>
      </c>
      <c r="U194">
        <v>0</v>
      </c>
      <c r="V194">
        <v>0</v>
      </c>
      <c r="W194">
        <v>0</v>
      </c>
      <c r="X194">
        <v>0</v>
      </c>
      <c r="Y194" s="2">
        <v>-191532.2</v>
      </c>
      <c r="Z194" s="2">
        <v>191533.2</v>
      </c>
      <c r="AA194">
        <v>0</v>
      </c>
    </row>
    <row r="195" spans="1:27" x14ac:dyDescent="0.35">
      <c r="A195">
        <v>2476</v>
      </c>
      <c r="B195">
        <v>0</v>
      </c>
      <c r="C195" s="1">
        <v>35195</v>
      </c>
      <c r="D195">
        <v>2</v>
      </c>
      <c r="E195" t="s">
        <v>20</v>
      </c>
      <c r="F195" t="s">
        <v>230</v>
      </c>
      <c r="G195" s="1">
        <v>35195</v>
      </c>
      <c r="H195" s="2">
        <v>75635.31</v>
      </c>
      <c r="I195" s="2">
        <f t="shared" si="3"/>
        <v>-75634.31</v>
      </c>
      <c r="J195">
        <v>1</v>
      </c>
      <c r="K195" t="s">
        <v>23</v>
      </c>
      <c r="L195">
        <v>10700040</v>
      </c>
      <c r="M195" t="s">
        <v>65</v>
      </c>
      <c r="N195">
        <v>33000</v>
      </c>
      <c r="O195" t="s">
        <v>30</v>
      </c>
      <c r="P195" t="s">
        <v>527</v>
      </c>
      <c r="Q195" t="s">
        <v>31</v>
      </c>
      <c r="R195">
        <v>164500</v>
      </c>
      <c r="S195" t="s">
        <v>63</v>
      </c>
      <c r="T195">
        <v>1</v>
      </c>
      <c r="U195">
        <v>0</v>
      </c>
      <c r="V195">
        <v>0</v>
      </c>
      <c r="W195">
        <v>0</v>
      </c>
      <c r="X195">
        <v>0</v>
      </c>
      <c r="Y195" s="2">
        <v>-358843.85</v>
      </c>
      <c r="Z195" s="2">
        <v>358844.85</v>
      </c>
      <c r="AA195">
        <v>0</v>
      </c>
    </row>
    <row r="196" spans="1:27" x14ac:dyDescent="0.35">
      <c r="A196">
        <v>2475</v>
      </c>
      <c r="B196">
        <v>0</v>
      </c>
      <c r="C196" s="1">
        <v>35220</v>
      </c>
      <c r="D196">
        <v>1</v>
      </c>
      <c r="E196" t="s">
        <v>20</v>
      </c>
      <c r="F196" t="s">
        <v>231</v>
      </c>
      <c r="G196" s="1">
        <v>35220</v>
      </c>
      <c r="H196" s="2">
        <v>249092.4</v>
      </c>
      <c r="I196" s="2">
        <f t="shared" si="3"/>
        <v>-249091.4</v>
      </c>
      <c r="J196">
        <v>1</v>
      </c>
      <c r="K196" t="s">
        <v>23</v>
      </c>
      <c r="L196">
        <v>10700040</v>
      </c>
      <c r="M196" t="s">
        <v>65</v>
      </c>
      <c r="N196">
        <v>33000</v>
      </c>
      <c r="O196" t="s">
        <v>30</v>
      </c>
      <c r="P196" t="s">
        <v>527</v>
      </c>
      <c r="Q196" t="s">
        <v>31</v>
      </c>
      <c r="R196">
        <v>164500</v>
      </c>
      <c r="S196" t="s">
        <v>63</v>
      </c>
      <c r="T196">
        <v>1</v>
      </c>
      <c r="U196">
        <v>0</v>
      </c>
      <c r="V196">
        <v>0</v>
      </c>
      <c r="W196">
        <v>0</v>
      </c>
      <c r="X196">
        <v>0</v>
      </c>
      <c r="Y196" s="2">
        <v>-60105.96</v>
      </c>
      <c r="Z196" s="2">
        <v>60106.96</v>
      </c>
      <c r="AA196">
        <v>0</v>
      </c>
    </row>
    <row r="197" spans="1:27" x14ac:dyDescent="0.35">
      <c r="A197">
        <v>2474</v>
      </c>
      <c r="B197">
        <v>0</v>
      </c>
      <c r="C197" s="1">
        <v>35272</v>
      </c>
      <c r="D197">
        <v>2</v>
      </c>
      <c r="E197" t="s">
        <v>20</v>
      </c>
      <c r="F197" t="s">
        <v>233</v>
      </c>
      <c r="G197" s="1">
        <v>35272</v>
      </c>
      <c r="H197" s="2">
        <v>14994.45</v>
      </c>
      <c r="I197" s="2">
        <f t="shared" si="3"/>
        <v>-14993.45</v>
      </c>
      <c r="J197">
        <v>1</v>
      </c>
      <c r="K197" t="s">
        <v>23</v>
      </c>
      <c r="L197">
        <v>10700040</v>
      </c>
      <c r="M197" t="s">
        <v>65</v>
      </c>
      <c r="N197">
        <v>33000</v>
      </c>
      <c r="O197" t="s">
        <v>30</v>
      </c>
      <c r="P197" t="s">
        <v>527</v>
      </c>
      <c r="Q197" t="s">
        <v>31</v>
      </c>
      <c r="R197">
        <v>164500</v>
      </c>
      <c r="S197" t="s">
        <v>63</v>
      </c>
      <c r="T197">
        <v>1</v>
      </c>
      <c r="U197">
        <v>0</v>
      </c>
      <c r="V197">
        <v>0</v>
      </c>
      <c r="W197">
        <v>0</v>
      </c>
      <c r="X197">
        <v>0</v>
      </c>
      <c r="Y197" s="2">
        <v>-37986.21</v>
      </c>
      <c r="Z197" s="2">
        <v>37987.21</v>
      </c>
      <c r="AA197">
        <v>0</v>
      </c>
    </row>
    <row r="198" spans="1:27" x14ac:dyDescent="0.35">
      <c r="A198">
        <v>2473</v>
      </c>
      <c r="B198">
        <v>0</v>
      </c>
      <c r="C198" s="1">
        <v>35276</v>
      </c>
      <c r="D198">
        <v>1</v>
      </c>
      <c r="E198" t="s">
        <v>20</v>
      </c>
      <c r="F198" t="s">
        <v>234</v>
      </c>
      <c r="G198" s="1">
        <v>35276</v>
      </c>
      <c r="H198" s="2">
        <v>24090.91</v>
      </c>
      <c r="I198" s="2">
        <f t="shared" si="3"/>
        <v>-24089.91</v>
      </c>
      <c r="J198">
        <v>1</v>
      </c>
      <c r="K198" t="s">
        <v>23</v>
      </c>
      <c r="L198">
        <v>10700040</v>
      </c>
      <c r="M198" t="s">
        <v>65</v>
      </c>
      <c r="N198">
        <v>33000</v>
      </c>
      <c r="O198" t="s">
        <v>30</v>
      </c>
      <c r="P198" t="s">
        <v>527</v>
      </c>
      <c r="Q198" t="s">
        <v>31</v>
      </c>
      <c r="R198">
        <v>164500</v>
      </c>
      <c r="S198" t="s">
        <v>63</v>
      </c>
      <c r="T198">
        <v>1</v>
      </c>
      <c r="U198">
        <v>0</v>
      </c>
      <c r="V198">
        <v>0</v>
      </c>
      <c r="W198">
        <v>0</v>
      </c>
      <c r="X198">
        <v>0</v>
      </c>
      <c r="Y198" s="2">
        <v>-15978.09</v>
      </c>
      <c r="Z198" s="2">
        <v>15979.09</v>
      </c>
      <c r="AA198">
        <v>0</v>
      </c>
    </row>
    <row r="199" spans="1:27" x14ac:dyDescent="0.35">
      <c r="A199">
        <v>2470</v>
      </c>
      <c r="B199">
        <v>0</v>
      </c>
      <c r="C199" s="1">
        <v>35286</v>
      </c>
      <c r="D199">
        <v>1</v>
      </c>
      <c r="E199" t="s">
        <v>20</v>
      </c>
      <c r="F199" t="s">
        <v>236</v>
      </c>
      <c r="G199" s="1">
        <v>35286</v>
      </c>
      <c r="H199" s="2">
        <v>11272.73</v>
      </c>
      <c r="I199" s="2">
        <f t="shared" si="3"/>
        <v>-11271.73</v>
      </c>
      <c r="J199">
        <v>1</v>
      </c>
      <c r="K199" t="s">
        <v>23</v>
      </c>
      <c r="L199">
        <v>10700040</v>
      </c>
      <c r="M199" t="s">
        <v>65</v>
      </c>
      <c r="N199">
        <v>33000</v>
      </c>
      <c r="O199" t="s">
        <v>30</v>
      </c>
      <c r="P199" t="s">
        <v>527</v>
      </c>
      <c r="Q199" t="s">
        <v>31</v>
      </c>
      <c r="R199">
        <v>164500</v>
      </c>
      <c r="S199" t="s">
        <v>63</v>
      </c>
      <c r="T199">
        <v>1</v>
      </c>
      <c r="U199">
        <v>0</v>
      </c>
      <c r="V199">
        <v>0</v>
      </c>
      <c r="W199">
        <v>0</v>
      </c>
      <c r="X199">
        <v>0</v>
      </c>
      <c r="Y199" s="2">
        <v>-23835.360000000001</v>
      </c>
      <c r="Z199" s="2">
        <v>23836.36</v>
      </c>
      <c r="AA199">
        <v>0</v>
      </c>
    </row>
    <row r="200" spans="1:27" x14ac:dyDescent="0.35">
      <c r="A200">
        <v>2471</v>
      </c>
      <c r="B200">
        <v>0</v>
      </c>
      <c r="C200" s="1">
        <v>35286</v>
      </c>
      <c r="D200">
        <v>1</v>
      </c>
      <c r="E200" t="s">
        <v>20</v>
      </c>
      <c r="F200" t="s">
        <v>237</v>
      </c>
      <c r="G200" s="1">
        <v>35286</v>
      </c>
      <c r="H200" s="2">
        <v>9090.91</v>
      </c>
      <c r="I200" s="2">
        <f t="shared" si="3"/>
        <v>-9089.91</v>
      </c>
      <c r="J200">
        <v>1</v>
      </c>
      <c r="K200" t="s">
        <v>23</v>
      </c>
      <c r="L200">
        <v>10700040</v>
      </c>
      <c r="M200" t="s">
        <v>65</v>
      </c>
      <c r="N200">
        <v>33000</v>
      </c>
      <c r="O200" t="s">
        <v>30</v>
      </c>
      <c r="P200" t="s">
        <v>527</v>
      </c>
      <c r="Q200" t="s">
        <v>31</v>
      </c>
      <c r="R200">
        <v>164500</v>
      </c>
      <c r="S200" t="s">
        <v>63</v>
      </c>
      <c r="T200">
        <v>1</v>
      </c>
      <c r="U200">
        <v>0</v>
      </c>
      <c r="V200">
        <v>0</v>
      </c>
      <c r="W200">
        <v>0</v>
      </c>
      <c r="X200">
        <v>0</v>
      </c>
      <c r="Y200" s="2">
        <v>-23856.639999999999</v>
      </c>
      <c r="Z200" s="2">
        <v>23857.64</v>
      </c>
      <c r="AA200">
        <v>0</v>
      </c>
    </row>
    <row r="201" spans="1:27" x14ac:dyDescent="0.35">
      <c r="A201">
        <v>2472</v>
      </c>
      <c r="B201">
        <v>0</v>
      </c>
      <c r="C201" s="1">
        <v>35286</v>
      </c>
      <c r="D201">
        <v>1</v>
      </c>
      <c r="E201" t="s">
        <v>20</v>
      </c>
      <c r="F201" t="s">
        <v>238</v>
      </c>
      <c r="G201" s="1">
        <v>35286</v>
      </c>
      <c r="H201" s="2">
        <v>14000</v>
      </c>
      <c r="I201" s="2">
        <f t="shared" si="3"/>
        <v>-13999</v>
      </c>
      <c r="J201">
        <v>1</v>
      </c>
      <c r="K201" t="s">
        <v>23</v>
      </c>
      <c r="L201">
        <v>10700040</v>
      </c>
      <c r="M201" t="s">
        <v>65</v>
      </c>
      <c r="N201">
        <v>33000</v>
      </c>
      <c r="O201" t="s">
        <v>30</v>
      </c>
      <c r="P201" t="s">
        <v>527</v>
      </c>
      <c r="Q201" t="s">
        <v>31</v>
      </c>
      <c r="R201">
        <v>164500</v>
      </c>
      <c r="S201" t="s">
        <v>63</v>
      </c>
      <c r="T201">
        <v>1</v>
      </c>
      <c r="U201">
        <v>0</v>
      </c>
      <c r="V201">
        <v>0</v>
      </c>
      <c r="W201">
        <v>0</v>
      </c>
      <c r="X201">
        <v>0</v>
      </c>
      <c r="Y201" s="2">
        <v>-20603.330000000002</v>
      </c>
      <c r="Z201" s="2">
        <v>20604.330000000002</v>
      </c>
      <c r="AA201">
        <v>0</v>
      </c>
    </row>
    <row r="202" spans="1:27" x14ac:dyDescent="0.35">
      <c r="A202">
        <v>2469</v>
      </c>
      <c r="B202">
        <v>0</v>
      </c>
      <c r="C202" s="1">
        <v>35326</v>
      </c>
      <c r="D202">
        <v>1</v>
      </c>
      <c r="E202" t="s">
        <v>20</v>
      </c>
      <c r="F202" t="s">
        <v>242</v>
      </c>
      <c r="G202" s="1">
        <v>35326</v>
      </c>
      <c r="H202" s="2">
        <v>701477.94</v>
      </c>
      <c r="I202" s="2">
        <f t="shared" si="3"/>
        <v>-701476.94</v>
      </c>
      <c r="J202">
        <v>1</v>
      </c>
      <c r="K202" t="s">
        <v>23</v>
      </c>
      <c r="L202">
        <v>10700040</v>
      </c>
      <c r="M202" t="s">
        <v>65</v>
      </c>
      <c r="N202">
        <v>33000</v>
      </c>
      <c r="O202" t="s">
        <v>30</v>
      </c>
      <c r="P202" t="s">
        <v>527</v>
      </c>
      <c r="Q202" t="s">
        <v>31</v>
      </c>
      <c r="R202">
        <v>164500</v>
      </c>
      <c r="S202" t="s">
        <v>63</v>
      </c>
      <c r="T202">
        <v>1</v>
      </c>
      <c r="U202">
        <v>0</v>
      </c>
      <c r="V202">
        <v>0</v>
      </c>
      <c r="W202">
        <v>0</v>
      </c>
      <c r="X202">
        <v>0</v>
      </c>
      <c r="Y202" s="2">
        <v>-5546.27</v>
      </c>
      <c r="Z202" s="2">
        <v>5547.27</v>
      </c>
      <c r="AA202">
        <v>0</v>
      </c>
    </row>
    <row r="203" spans="1:27" x14ac:dyDescent="0.35">
      <c r="A203">
        <v>2468</v>
      </c>
      <c r="B203">
        <v>0</v>
      </c>
      <c r="C203" s="1">
        <v>35338</v>
      </c>
      <c r="D203">
        <v>1</v>
      </c>
      <c r="E203" t="s">
        <v>20</v>
      </c>
      <c r="F203" t="s">
        <v>244</v>
      </c>
      <c r="G203" s="1">
        <v>35338</v>
      </c>
      <c r="H203" s="2">
        <v>134244</v>
      </c>
      <c r="I203" s="2">
        <f t="shared" si="3"/>
        <v>-134243</v>
      </c>
      <c r="J203">
        <v>1</v>
      </c>
      <c r="K203" t="s">
        <v>23</v>
      </c>
      <c r="L203">
        <v>10700040</v>
      </c>
      <c r="M203" t="s">
        <v>65</v>
      </c>
      <c r="N203">
        <v>33000</v>
      </c>
      <c r="O203" t="s">
        <v>30</v>
      </c>
      <c r="P203" t="s">
        <v>527</v>
      </c>
      <c r="Q203" t="s">
        <v>31</v>
      </c>
      <c r="R203">
        <v>164500</v>
      </c>
      <c r="S203" t="s">
        <v>63</v>
      </c>
      <c r="T203">
        <v>1</v>
      </c>
      <c r="U203">
        <v>0</v>
      </c>
      <c r="V203">
        <v>0</v>
      </c>
      <c r="W203">
        <v>0</v>
      </c>
      <c r="X203">
        <v>0</v>
      </c>
      <c r="Y203" s="2">
        <v>-15978.09</v>
      </c>
      <c r="Z203" s="2">
        <v>15979.09</v>
      </c>
      <c r="AA203">
        <v>0</v>
      </c>
    </row>
    <row r="204" spans="1:27" x14ac:dyDescent="0.35">
      <c r="A204">
        <v>2467</v>
      </c>
      <c r="B204">
        <v>0</v>
      </c>
      <c r="C204" s="1">
        <v>35367</v>
      </c>
      <c r="D204">
        <v>1</v>
      </c>
      <c r="E204" t="s">
        <v>20</v>
      </c>
      <c r="F204" t="s">
        <v>247</v>
      </c>
      <c r="G204" s="1">
        <v>35367</v>
      </c>
      <c r="H204" s="2">
        <v>84713.600000000006</v>
      </c>
      <c r="I204" s="2">
        <f t="shared" si="3"/>
        <v>-84712.6</v>
      </c>
      <c r="J204">
        <v>1</v>
      </c>
      <c r="K204" t="s">
        <v>23</v>
      </c>
      <c r="L204">
        <v>10700040</v>
      </c>
      <c r="M204" t="s">
        <v>65</v>
      </c>
      <c r="N204">
        <v>33000</v>
      </c>
      <c r="O204" t="s">
        <v>30</v>
      </c>
      <c r="P204" t="s">
        <v>527</v>
      </c>
      <c r="Q204" t="s">
        <v>31</v>
      </c>
      <c r="R204">
        <v>164500</v>
      </c>
      <c r="S204" t="s">
        <v>63</v>
      </c>
      <c r="T204">
        <v>1</v>
      </c>
      <c r="U204">
        <v>0</v>
      </c>
      <c r="V204">
        <v>0</v>
      </c>
      <c r="W204">
        <v>0</v>
      </c>
      <c r="X204">
        <v>0</v>
      </c>
      <c r="Y204" s="2">
        <v>-85095.81</v>
      </c>
      <c r="Z204" s="2">
        <v>85096.81</v>
      </c>
      <c r="AA204">
        <v>0</v>
      </c>
    </row>
    <row r="205" spans="1:27" x14ac:dyDescent="0.35">
      <c r="A205">
        <v>2466</v>
      </c>
      <c r="B205">
        <v>0</v>
      </c>
      <c r="C205" s="1">
        <v>35383</v>
      </c>
      <c r="D205">
        <v>1</v>
      </c>
      <c r="E205" t="s">
        <v>20</v>
      </c>
      <c r="F205" t="s">
        <v>248</v>
      </c>
      <c r="G205" s="1">
        <v>35383</v>
      </c>
      <c r="H205" s="2">
        <v>14994.45</v>
      </c>
      <c r="I205" s="2">
        <f t="shared" si="3"/>
        <v>-14993.45</v>
      </c>
      <c r="J205">
        <v>1</v>
      </c>
      <c r="K205" t="s">
        <v>23</v>
      </c>
      <c r="L205">
        <v>10700040</v>
      </c>
      <c r="M205" t="s">
        <v>65</v>
      </c>
      <c r="N205">
        <v>33000</v>
      </c>
      <c r="O205" t="s">
        <v>30</v>
      </c>
      <c r="P205" t="s">
        <v>527</v>
      </c>
      <c r="Q205" t="s">
        <v>31</v>
      </c>
      <c r="R205">
        <v>164500</v>
      </c>
      <c r="S205" t="s">
        <v>63</v>
      </c>
      <c r="T205">
        <v>1</v>
      </c>
      <c r="U205">
        <v>0</v>
      </c>
      <c r="V205">
        <v>0</v>
      </c>
      <c r="W205">
        <v>0</v>
      </c>
      <c r="X205">
        <v>0</v>
      </c>
      <c r="Y205" s="2">
        <v>-28864.44</v>
      </c>
      <c r="Z205" s="2">
        <v>28865.439999999999</v>
      </c>
      <c r="AA205">
        <v>0</v>
      </c>
    </row>
    <row r="206" spans="1:27" x14ac:dyDescent="0.35">
      <c r="A206">
        <v>2465</v>
      </c>
      <c r="B206">
        <v>0</v>
      </c>
      <c r="C206" s="1">
        <v>35385</v>
      </c>
      <c r="D206">
        <v>1</v>
      </c>
      <c r="E206" t="s">
        <v>20</v>
      </c>
      <c r="F206" t="s">
        <v>249</v>
      </c>
      <c r="G206" s="1">
        <v>35385</v>
      </c>
      <c r="H206" s="2">
        <v>191533.2</v>
      </c>
      <c r="I206" s="2">
        <f t="shared" si="3"/>
        <v>-191532.2</v>
      </c>
      <c r="J206">
        <v>1</v>
      </c>
      <c r="K206" t="s">
        <v>23</v>
      </c>
      <c r="L206">
        <v>10700040</v>
      </c>
      <c r="M206" t="s">
        <v>65</v>
      </c>
      <c r="N206">
        <v>33000</v>
      </c>
      <c r="O206" t="s">
        <v>30</v>
      </c>
      <c r="P206" t="s">
        <v>527</v>
      </c>
      <c r="Q206" t="s">
        <v>31</v>
      </c>
      <c r="R206">
        <v>164500</v>
      </c>
      <c r="S206" t="s">
        <v>63</v>
      </c>
      <c r="T206">
        <v>1</v>
      </c>
      <c r="U206">
        <v>0</v>
      </c>
      <c r="V206">
        <v>0</v>
      </c>
      <c r="W206">
        <v>0</v>
      </c>
      <c r="X206">
        <v>0</v>
      </c>
      <c r="Y206" s="2">
        <v>-7988.55</v>
      </c>
      <c r="Z206" s="2">
        <v>7989.55</v>
      </c>
      <c r="AA206">
        <v>0</v>
      </c>
    </row>
    <row r="207" spans="1:27" x14ac:dyDescent="0.35">
      <c r="A207">
        <v>2464</v>
      </c>
      <c r="B207">
        <v>0</v>
      </c>
      <c r="C207" s="1">
        <v>35433</v>
      </c>
      <c r="D207">
        <v>1</v>
      </c>
      <c r="E207" t="s">
        <v>20</v>
      </c>
      <c r="F207" t="s">
        <v>250</v>
      </c>
      <c r="G207" s="1">
        <v>35433</v>
      </c>
      <c r="H207" s="2">
        <v>358844.85</v>
      </c>
      <c r="I207" s="2">
        <f t="shared" si="3"/>
        <v>-358843.85</v>
      </c>
      <c r="J207">
        <v>1</v>
      </c>
      <c r="K207" t="s">
        <v>23</v>
      </c>
      <c r="L207">
        <v>10700040</v>
      </c>
      <c r="M207" t="s">
        <v>65</v>
      </c>
      <c r="N207">
        <v>33000</v>
      </c>
      <c r="O207" t="s">
        <v>30</v>
      </c>
      <c r="P207" t="s">
        <v>527</v>
      </c>
      <c r="Q207" t="s">
        <v>31</v>
      </c>
      <c r="R207">
        <v>164500</v>
      </c>
      <c r="S207" t="s">
        <v>63</v>
      </c>
      <c r="T207">
        <v>1</v>
      </c>
      <c r="U207">
        <v>0</v>
      </c>
      <c r="V207">
        <v>0</v>
      </c>
      <c r="W207">
        <v>0</v>
      </c>
      <c r="X207">
        <v>0</v>
      </c>
      <c r="Y207" s="2">
        <v>-10308.09</v>
      </c>
      <c r="Z207" s="2">
        <v>10309.09</v>
      </c>
      <c r="AA207">
        <v>0</v>
      </c>
    </row>
    <row r="208" spans="1:27" x14ac:dyDescent="0.35">
      <c r="A208">
        <v>2462</v>
      </c>
      <c r="B208">
        <v>0</v>
      </c>
      <c r="C208" s="1">
        <v>35452</v>
      </c>
      <c r="D208">
        <v>1</v>
      </c>
      <c r="E208" t="s">
        <v>20</v>
      </c>
      <c r="F208" t="s">
        <v>251</v>
      </c>
      <c r="G208" s="1">
        <v>35452</v>
      </c>
      <c r="H208" s="2">
        <v>60106.96</v>
      </c>
      <c r="I208" s="2">
        <f t="shared" si="3"/>
        <v>-60105.96</v>
      </c>
      <c r="J208">
        <v>1</v>
      </c>
      <c r="K208" t="s">
        <v>23</v>
      </c>
      <c r="L208">
        <v>10700040</v>
      </c>
      <c r="M208" t="s">
        <v>65</v>
      </c>
      <c r="N208">
        <v>33000</v>
      </c>
      <c r="O208" t="s">
        <v>30</v>
      </c>
      <c r="P208" t="s">
        <v>527</v>
      </c>
      <c r="Q208" t="s">
        <v>31</v>
      </c>
      <c r="R208">
        <v>164500</v>
      </c>
      <c r="S208" t="s">
        <v>63</v>
      </c>
      <c r="T208">
        <v>1</v>
      </c>
      <c r="U208">
        <v>0</v>
      </c>
      <c r="V208">
        <v>0</v>
      </c>
      <c r="W208">
        <v>0</v>
      </c>
      <c r="X208">
        <v>0</v>
      </c>
      <c r="Y208" s="2">
        <v>-108358.68</v>
      </c>
      <c r="Z208" s="2">
        <v>108359.67999999999</v>
      </c>
      <c r="AA208">
        <v>0</v>
      </c>
    </row>
    <row r="209" spans="1:27" x14ac:dyDescent="0.35">
      <c r="A209">
        <v>2463</v>
      </c>
      <c r="B209">
        <v>0</v>
      </c>
      <c r="C209" s="1">
        <v>35452</v>
      </c>
      <c r="D209">
        <v>1</v>
      </c>
      <c r="E209" t="s">
        <v>20</v>
      </c>
      <c r="F209" t="s">
        <v>252</v>
      </c>
      <c r="G209" s="1">
        <v>35452</v>
      </c>
      <c r="H209" s="2">
        <v>37987.21</v>
      </c>
      <c r="I209" s="2">
        <f t="shared" si="3"/>
        <v>-37986.21</v>
      </c>
      <c r="J209">
        <v>1</v>
      </c>
      <c r="K209" t="s">
        <v>23</v>
      </c>
      <c r="L209">
        <v>10700040</v>
      </c>
      <c r="M209" t="s">
        <v>65</v>
      </c>
      <c r="N209">
        <v>33000</v>
      </c>
      <c r="O209" t="s">
        <v>30</v>
      </c>
      <c r="P209" t="s">
        <v>527</v>
      </c>
      <c r="Q209" t="s">
        <v>31</v>
      </c>
      <c r="R209">
        <v>164500</v>
      </c>
      <c r="S209" t="s">
        <v>63</v>
      </c>
      <c r="T209">
        <v>1</v>
      </c>
      <c r="U209">
        <v>0</v>
      </c>
      <c r="V209">
        <v>0</v>
      </c>
      <c r="W209">
        <v>0</v>
      </c>
      <c r="X209">
        <v>0</v>
      </c>
      <c r="Y209" s="2">
        <v>-81817.179999999993</v>
      </c>
      <c r="Z209" s="2">
        <v>81818.179999999993</v>
      </c>
      <c r="AA209">
        <v>0</v>
      </c>
    </row>
    <row r="210" spans="1:27" x14ac:dyDescent="0.35">
      <c r="A210">
        <v>2461</v>
      </c>
      <c r="B210">
        <v>0</v>
      </c>
      <c r="C210" s="1">
        <v>35475</v>
      </c>
      <c r="D210">
        <v>2</v>
      </c>
      <c r="E210" t="s">
        <v>20</v>
      </c>
      <c r="F210" t="s">
        <v>253</v>
      </c>
      <c r="G210" s="1">
        <v>35475</v>
      </c>
      <c r="H210" s="2">
        <v>15979.09</v>
      </c>
      <c r="I210" s="2">
        <f t="shared" si="3"/>
        <v>-15978.09</v>
      </c>
      <c r="J210">
        <v>1</v>
      </c>
      <c r="K210" t="s">
        <v>23</v>
      </c>
      <c r="L210">
        <v>10700040</v>
      </c>
      <c r="M210" t="s">
        <v>65</v>
      </c>
      <c r="N210">
        <v>33000</v>
      </c>
      <c r="O210" t="s">
        <v>30</v>
      </c>
      <c r="P210" t="s">
        <v>527</v>
      </c>
      <c r="Q210" t="s">
        <v>31</v>
      </c>
      <c r="R210">
        <v>164500</v>
      </c>
      <c r="S210" t="s">
        <v>63</v>
      </c>
      <c r="T210">
        <v>1</v>
      </c>
      <c r="U210">
        <v>0</v>
      </c>
      <c r="V210">
        <v>0</v>
      </c>
      <c r="W210">
        <v>0</v>
      </c>
      <c r="X210">
        <v>0</v>
      </c>
      <c r="Y210" s="2">
        <v>-18908.09</v>
      </c>
      <c r="Z210" s="2">
        <v>18909.09</v>
      </c>
      <c r="AA210">
        <v>0</v>
      </c>
    </row>
    <row r="211" spans="1:27" x14ac:dyDescent="0.35">
      <c r="A211">
        <v>2460</v>
      </c>
      <c r="B211">
        <v>0</v>
      </c>
      <c r="C211" s="1">
        <v>35479</v>
      </c>
      <c r="D211">
        <v>4</v>
      </c>
      <c r="E211" t="s">
        <v>20</v>
      </c>
      <c r="F211" t="s">
        <v>254</v>
      </c>
      <c r="G211" s="1">
        <v>35479</v>
      </c>
      <c r="H211" s="2">
        <v>23836.36</v>
      </c>
      <c r="I211" s="2">
        <f t="shared" si="3"/>
        <v>-23835.360000000001</v>
      </c>
      <c r="J211">
        <v>1</v>
      </c>
      <c r="K211" t="s">
        <v>23</v>
      </c>
      <c r="L211">
        <v>10700040</v>
      </c>
      <c r="M211" t="s">
        <v>65</v>
      </c>
      <c r="N211">
        <v>33000</v>
      </c>
      <c r="O211" t="s">
        <v>30</v>
      </c>
      <c r="P211" t="s">
        <v>527</v>
      </c>
      <c r="Q211" t="s">
        <v>31</v>
      </c>
      <c r="R211">
        <v>164500</v>
      </c>
      <c r="S211" t="s">
        <v>63</v>
      </c>
      <c r="T211">
        <v>1</v>
      </c>
      <c r="U211">
        <v>0</v>
      </c>
      <c r="V211">
        <v>0</v>
      </c>
      <c r="W211">
        <v>0</v>
      </c>
      <c r="X211">
        <v>0</v>
      </c>
      <c r="Y211" s="2">
        <v>-134544.45000000001</v>
      </c>
      <c r="Z211" s="2">
        <v>134545.45000000001</v>
      </c>
      <c r="AA211">
        <v>0</v>
      </c>
    </row>
    <row r="212" spans="1:27" x14ac:dyDescent="0.35">
      <c r="A212">
        <v>2458</v>
      </c>
      <c r="B212">
        <v>0</v>
      </c>
      <c r="C212" s="1">
        <v>35480</v>
      </c>
      <c r="D212">
        <v>1</v>
      </c>
      <c r="E212" t="s">
        <v>20</v>
      </c>
      <c r="F212" t="s">
        <v>255</v>
      </c>
      <c r="G212" s="1">
        <v>35480</v>
      </c>
      <c r="H212" s="2">
        <v>23857.64</v>
      </c>
      <c r="I212" s="2">
        <f t="shared" si="3"/>
        <v>-23856.639999999999</v>
      </c>
      <c r="J212">
        <v>1</v>
      </c>
      <c r="K212" t="s">
        <v>23</v>
      </c>
      <c r="L212">
        <v>10700040</v>
      </c>
      <c r="M212" t="s">
        <v>65</v>
      </c>
      <c r="N212">
        <v>33000</v>
      </c>
      <c r="O212" t="s">
        <v>30</v>
      </c>
      <c r="P212" t="s">
        <v>527</v>
      </c>
      <c r="Q212" t="s">
        <v>31</v>
      </c>
      <c r="R212">
        <v>164500</v>
      </c>
      <c r="S212" t="s">
        <v>63</v>
      </c>
      <c r="T212">
        <v>1</v>
      </c>
      <c r="U212">
        <v>0</v>
      </c>
      <c r="V212">
        <v>0</v>
      </c>
      <c r="W212">
        <v>0</v>
      </c>
      <c r="X212">
        <v>0</v>
      </c>
      <c r="Y212" s="2">
        <v>-35908.089999999997</v>
      </c>
      <c r="Z212" s="2">
        <v>35909.089999999997</v>
      </c>
      <c r="AA212">
        <v>0</v>
      </c>
    </row>
    <row r="213" spans="1:27" x14ac:dyDescent="0.35">
      <c r="A213">
        <v>2459</v>
      </c>
      <c r="B213">
        <v>0</v>
      </c>
      <c r="C213" s="1">
        <v>35480</v>
      </c>
      <c r="D213">
        <v>1</v>
      </c>
      <c r="E213" t="s">
        <v>20</v>
      </c>
      <c r="F213" t="s">
        <v>256</v>
      </c>
      <c r="G213" s="1">
        <v>35480</v>
      </c>
      <c r="H213" s="2">
        <v>20604.330000000002</v>
      </c>
      <c r="I213" s="2">
        <f t="shared" si="3"/>
        <v>-20603.330000000002</v>
      </c>
      <c r="J213">
        <v>1</v>
      </c>
      <c r="K213" t="s">
        <v>23</v>
      </c>
      <c r="L213">
        <v>10700040</v>
      </c>
      <c r="M213" t="s">
        <v>65</v>
      </c>
      <c r="N213">
        <v>33000</v>
      </c>
      <c r="O213" t="s">
        <v>30</v>
      </c>
      <c r="P213" t="s">
        <v>527</v>
      </c>
      <c r="Q213" t="s">
        <v>31</v>
      </c>
      <c r="R213">
        <v>164500</v>
      </c>
      <c r="S213" t="s">
        <v>63</v>
      </c>
      <c r="T213">
        <v>1</v>
      </c>
      <c r="U213">
        <v>0</v>
      </c>
      <c r="V213">
        <v>0</v>
      </c>
      <c r="W213">
        <v>0</v>
      </c>
      <c r="X213">
        <v>0</v>
      </c>
      <c r="Y213" s="2">
        <v>-80617.179999999993</v>
      </c>
      <c r="Z213" s="2">
        <v>80618.179999999993</v>
      </c>
      <c r="AA213">
        <v>0</v>
      </c>
    </row>
    <row r="214" spans="1:27" x14ac:dyDescent="0.35">
      <c r="A214">
        <v>2457</v>
      </c>
      <c r="B214">
        <v>0</v>
      </c>
      <c r="C214" s="1">
        <v>35488</v>
      </c>
      <c r="D214">
        <v>1</v>
      </c>
      <c r="E214" t="s">
        <v>20</v>
      </c>
      <c r="F214" t="s">
        <v>257</v>
      </c>
      <c r="G214" s="1">
        <v>35488</v>
      </c>
      <c r="H214" s="2">
        <v>5547.27</v>
      </c>
      <c r="I214" s="2">
        <f t="shared" si="3"/>
        <v>-5546.27</v>
      </c>
      <c r="J214">
        <v>1</v>
      </c>
      <c r="K214" t="s">
        <v>23</v>
      </c>
      <c r="L214">
        <v>10700040</v>
      </c>
      <c r="M214" t="s">
        <v>65</v>
      </c>
      <c r="N214">
        <v>33000</v>
      </c>
      <c r="O214" t="s">
        <v>30</v>
      </c>
      <c r="P214" t="s">
        <v>527</v>
      </c>
      <c r="Q214" t="s">
        <v>31</v>
      </c>
      <c r="R214">
        <v>164500</v>
      </c>
      <c r="S214" t="s">
        <v>63</v>
      </c>
      <c r="T214">
        <v>1</v>
      </c>
      <c r="U214">
        <v>0</v>
      </c>
      <c r="V214">
        <v>0</v>
      </c>
      <c r="W214">
        <v>0</v>
      </c>
      <c r="X214">
        <v>0</v>
      </c>
      <c r="Y214" s="2">
        <v>-79644.850000000006</v>
      </c>
      <c r="Z214" s="2">
        <v>79645.850000000006</v>
      </c>
      <c r="AA214">
        <v>0</v>
      </c>
    </row>
    <row r="215" spans="1:27" x14ac:dyDescent="0.35">
      <c r="A215">
        <v>2456</v>
      </c>
      <c r="B215">
        <v>0</v>
      </c>
      <c r="C215" s="1">
        <v>35499</v>
      </c>
      <c r="D215">
        <v>2</v>
      </c>
      <c r="E215" t="s">
        <v>20</v>
      </c>
      <c r="F215" t="s">
        <v>258</v>
      </c>
      <c r="G215" s="1">
        <v>35499</v>
      </c>
      <c r="H215" s="2">
        <v>15979.09</v>
      </c>
      <c r="I215" s="2">
        <f t="shared" si="3"/>
        <v>-15978.09</v>
      </c>
      <c r="J215">
        <v>1</v>
      </c>
      <c r="K215" t="s">
        <v>23</v>
      </c>
      <c r="L215">
        <v>10700040</v>
      </c>
      <c r="M215" t="s">
        <v>65</v>
      </c>
      <c r="N215">
        <v>33000</v>
      </c>
      <c r="O215" t="s">
        <v>30</v>
      </c>
      <c r="P215" t="s">
        <v>527</v>
      </c>
      <c r="Q215" t="s">
        <v>31</v>
      </c>
      <c r="R215">
        <v>164500</v>
      </c>
      <c r="S215" t="s">
        <v>63</v>
      </c>
      <c r="T215">
        <v>1</v>
      </c>
      <c r="U215">
        <v>0</v>
      </c>
      <c r="V215">
        <v>0</v>
      </c>
      <c r="W215">
        <v>0</v>
      </c>
      <c r="X215">
        <v>0</v>
      </c>
      <c r="Y215" s="2">
        <v>-100144.45</v>
      </c>
      <c r="Z215" s="2">
        <v>100145.45</v>
      </c>
      <c r="AA215">
        <v>0</v>
      </c>
    </row>
    <row r="216" spans="1:27" x14ac:dyDescent="0.35">
      <c r="A216">
        <v>2455</v>
      </c>
      <c r="B216">
        <v>0</v>
      </c>
      <c r="C216" s="1">
        <v>35514</v>
      </c>
      <c r="D216">
        <v>1</v>
      </c>
      <c r="E216" t="s">
        <v>20</v>
      </c>
      <c r="F216" t="s">
        <v>259</v>
      </c>
      <c r="G216" s="1">
        <v>35514</v>
      </c>
      <c r="H216" s="2">
        <v>85096.81</v>
      </c>
      <c r="I216" s="2">
        <f t="shared" si="3"/>
        <v>-85095.81</v>
      </c>
      <c r="J216">
        <v>1</v>
      </c>
      <c r="K216" t="s">
        <v>23</v>
      </c>
      <c r="L216">
        <v>10700040</v>
      </c>
      <c r="M216" t="s">
        <v>65</v>
      </c>
      <c r="N216">
        <v>33000</v>
      </c>
      <c r="O216" t="s">
        <v>30</v>
      </c>
      <c r="P216" t="s">
        <v>527</v>
      </c>
      <c r="Q216" t="s">
        <v>31</v>
      </c>
      <c r="R216">
        <v>164500</v>
      </c>
      <c r="S216" t="s">
        <v>63</v>
      </c>
      <c r="T216">
        <v>1</v>
      </c>
      <c r="U216">
        <v>0</v>
      </c>
      <c r="V216">
        <v>0</v>
      </c>
      <c r="W216">
        <v>0</v>
      </c>
      <c r="X216">
        <v>0</v>
      </c>
      <c r="Y216" s="2">
        <v>-9499</v>
      </c>
      <c r="Z216" s="2">
        <v>9500</v>
      </c>
      <c r="AA216">
        <v>0</v>
      </c>
    </row>
    <row r="217" spans="1:27" x14ac:dyDescent="0.35">
      <c r="A217">
        <v>2452</v>
      </c>
      <c r="B217">
        <v>0</v>
      </c>
      <c r="C217" s="1">
        <v>35553</v>
      </c>
      <c r="D217">
        <v>8</v>
      </c>
      <c r="E217" t="s">
        <v>20</v>
      </c>
      <c r="F217" t="s">
        <v>263</v>
      </c>
      <c r="G217" s="1">
        <v>35553</v>
      </c>
      <c r="H217" s="2">
        <v>108359.67999999999</v>
      </c>
      <c r="I217" s="2">
        <f t="shared" si="3"/>
        <v>-108358.68</v>
      </c>
      <c r="J217">
        <v>1</v>
      </c>
      <c r="K217" t="s">
        <v>23</v>
      </c>
      <c r="L217">
        <v>10700040</v>
      </c>
      <c r="M217" t="s">
        <v>65</v>
      </c>
      <c r="N217">
        <v>33000</v>
      </c>
      <c r="O217" t="s">
        <v>30</v>
      </c>
      <c r="P217" t="s">
        <v>527</v>
      </c>
      <c r="Q217" t="s">
        <v>31</v>
      </c>
      <c r="R217">
        <v>164500</v>
      </c>
      <c r="S217" t="s">
        <v>63</v>
      </c>
      <c r="T217">
        <v>1</v>
      </c>
      <c r="U217">
        <v>0</v>
      </c>
      <c r="V217">
        <v>0</v>
      </c>
      <c r="W217">
        <v>0</v>
      </c>
      <c r="X217">
        <v>0</v>
      </c>
      <c r="Y217" s="2">
        <v>-10889.91</v>
      </c>
      <c r="Z217" s="2">
        <v>10890.91</v>
      </c>
      <c r="AA217">
        <v>0</v>
      </c>
    </row>
    <row r="218" spans="1:27" x14ac:dyDescent="0.35">
      <c r="A218">
        <v>2453</v>
      </c>
      <c r="B218">
        <v>0</v>
      </c>
      <c r="C218" s="1">
        <v>35553</v>
      </c>
      <c r="D218">
        <v>2</v>
      </c>
      <c r="E218" t="s">
        <v>20</v>
      </c>
      <c r="F218" t="s">
        <v>264</v>
      </c>
      <c r="G218" s="1">
        <v>35553</v>
      </c>
      <c r="H218" s="2">
        <v>81818.179999999993</v>
      </c>
      <c r="I218" s="2">
        <f t="shared" si="3"/>
        <v>-81817.179999999993</v>
      </c>
      <c r="J218">
        <v>1</v>
      </c>
      <c r="K218" t="s">
        <v>23</v>
      </c>
      <c r="L218">
        <v>10700040</v>
      </c>
      <c r="M218" t="s">
        <v>65</v>
      </c>
      <c r="N218">
        <v>33000</v>
      </c>
      <c r="O218" t="s">
        <v>30</v>
      </c>
      <c r="P218" t="s">
        <v>527</v>
      </c>
      <c r="Q218" t="s">
        <v>31</v>
      </c>
      <c r="R218">
        <v>164500</v>
      </c>
      <c r="S218" t="s">
        <v>63</v>
      </c>
      <c r="T218">
        <v>1</v>
      </c>
      <c r="U218">
        <v>0</v>
      </c>
      <c r="V218">
        <v>0</v>
      </c>
      <c r="W218">
        <v>0</v>
      </c>
      <c r="X218">
        <v>0</v>
      </c>
      <c r="Y218" s="2">
        <v>-42219.91</v>
      </c>
      <c r="Z218" s="2">
        <v>42220.91</v>
      </c>
      <c r="AA218">
        <v>0</v>
      </c>
    </row>
    <row r="219" spans="1:27" x14ac:dyDescent="0.35">
      <c r="A219">
        <v>2454</v>
      </c>
      <c r="B219">
        <v>0</v>
      </c>
      <c r="C219" s="1">
        <v>35553</v>
      </c>
      <c r="D219">
        <v>1</v>
      </c>
      <c r="E219" t="s">
        <v>20</v>
      </c>
      <c r="F219" t="s">
        <v>265</v>
      </c>
      <c r="G219" s="1">
        <v>35553</v>
      </c>
      <c r="H219" s="2">
        <v>18909.09</v>
      </c>
      <c r="I219" s="2">
        <f t="shared" si="3"/>
        <v>-18908.09</v>
      </c>
      <c r="J219">
        <v>1</v>
      </c>
      <c r="K219" t="s">
        <v>23</v>
      </c>
      <c r="L219">
        <v>10700040</v>
      </c>
      <c r="M219" t="s">
        <v>65</v>
      </c>
      <c r="N219">
        <v>33000</v>
      </c>
      <c r="O219" t="s">
        <v>30</v>
      </c>
      <c r="P219" t="s">
        <v>527</v>
      </c>
      <c r="Q219" t="s">
        <v>31</v>
      </c>
      <c r="R219">
        <v>164500</v>
      </c>
      <c r="S219" t="s">
        <v>63</v>
      </c>
      <c r="T219">
        <v>1</v>
      </c>
      <c r="U219">
        <v>0</v>
      </c>
      <c r="V219">
        <v>0</v>
      </c>
      <c r="W219">
        <v>0</v>
      </c>
      <c r="X219">
        <v>0</v>
      </c>
      <c r="Y219" s="2">
        <v>-67390.3</v>
      </c>
      <c r="Z219" s="2">
        <v>67391.3</v>
      </c>
      <c r="AA219">
        <v>0</v>
      </c>
    </row>
    <row r="220" spans="1:27" x14ac:dyDescent="0.35">
      <c r="A220">
        <v>2451</v>
      </c>
      <c r="B220">
        <v>0</v>
      </c>
      <c r="C220" s="1">
        <v>35579</v>
      </c>
      <c r="D220">
        <v>1</v>
      </c>
      <c r="E220" t="s">
        <v>20</v>
      </c>
      <c r="F220" t="s">
        <v>267</v>
      </c>
      <c r="G220" s="1">
        <v>35579</v>
      </c>
      <c r="H220" s="2">
        <v>35909.089999999997</v>
      </c>
      <c r="I220" s="2">
        <f t="shared" si="3"/>
        <v>-35908.089999999997</v>
      </c>
      <c r="J220">
        <v>1</v>
      </c>
      <c r="K220" t="s">
        <v>23</v>
      </c>
      <c r="L220">
        <v>10700040</v>
      </c>
      <c r="M220" t="s">
        <v>65</v>
      </c>
      <c r="N220">
        <v>33000</v>
      </c>
      <c r="O220" t="s">
        <v>30</v>
      </c>
      <c r="P220" t="s">
        <v>527</v>
      </c>
      <c r="Q220" t="s">
        <v>31</v>
      </c>
      <c r="R220">
        <v>164500</v>
      </c>
      <c r="S220" t="s">
        <v>63</v>
      </c>
      <c r="T220">
        <v>1</v>
      </c>
      <c r="U220">
        <v>0</v>
      </c>
      <c r="V220">
        <v>0</v>
      </c>
      <c r="W220">
        <v>0</v>
      </c>
      <c r="X220">
        <v>0</v>
      </c>
      <c r="Y220" s="2">
        <v>-1223373.8799999999</v>
      </c>
      <c r="Z220" s="2">
        <v>1223374.8799999999</v>
      </c>
      <c r="AA220">
        <v>0</v>
      </c>
    </row>
    <row r="221" spans="1:27" x14ac:dyDescent="0.35">
      <c r="A221">
        <v>2449</v>
      </c>
      <c r="B221">
        <v>0</v>
      </c>
      <c r="C221" s="1">
        <v>35581</v>
      </c>
      <c r="D221">
        <v>6</v>
      </c>
      <c r="E221" t="s">
        <v>20</v>
      </c>
      <c r="F221" t="s">
        <v>268</v>
      </c>
      <c r="G221" s="1">
        <v>35581</v>
      </c>
      <c r="H221" s="2">
        <v>80618.179999999993</v>
      </c>
      <c r="I221" s="2">
        <f t="shared" si="3"/>
        <v>-80617.179999999993</v>
      </c>
      <c r="J221">
        <v>1</v>
      </c>
      <c r="K221" t="s">
        <v>23</v>
      </c>
      <c r="L221">
        <v>10700040</v>
      </c>
      <c r="M221" t="s">
        <v>65</v>
      </c>
      <c r="N221">
        <v>33000</v>
      </c>
      <c r="O221" t="s">
        <v>30</v>
      </c>
      <c r="P221" t="s">
        <v>527</v>
      </c>
      <c r="Q221" t="s">
        <v>31</v>
      </c>
      <c r="R221">
        <v>164500</v>
      </c>
      <c r="S221" t="s">
        <v>63</v>
      </c>
      <c r="T221">
        <v>1</v>
      </c>
      <c r="U221">
        <v>0</v>
      </c>
      <c r="V221">
        <v>0</v>
      </c>
      <c r="W221">
        <v>0</v>
      </c>
      <c r="X221">
        <v>0</v>
      </c>
      <c r="Y221" s="2">
        <v>-25224.23</v>
      </c>
      <c r="Z221" s="2">
        <v>25225.23</v>
      </c>
      <c r="AA221">
        <v>0</v>
      </c>
    </row>
    <row r="222" spans="1:27" x14ac:dyDescent="0.35">
      <c r="A222">
        <v>2450</v>
      </c>
      <c r="B222">
        <v>0</v>
      </c>
      <c r="C222" s="1">
        <v>35581</v>
      </c>
      <c r="D222">
        <v>6</v>
      </c>
      <c r="E222" t="s">
        <v>20</v>
      </c>
      <c r="F222" t="s">
        <v>269</v>
      </c>
      <c r="G222" s="1">
        <v>35581</v>
      </c>
      <c r="H222" s="2">
        <v>79645.850000000006</v>
      </c>
      <c r="I222" s="2">
        <f t="shared" si="3"/>
        <v>-79644.850000000006</v>
      </c>
      <c r="J222">
        <v>1</v>
      </c>
      <c r="K222" t="s">
        <v>23</v>
      </c>
      <c r="L222">
        <v>10700040</v>
      </c>
      <c r="M222" t="s">
        <v>65</v>
      </c>
      <c r="N222">
        <v>33000</v>
      </c>
      <c r="O222" t="s">
        <v>30</v>
      </c>
      <c r="P222" t="s">
        <v>527</v>
      </c>
      <c r="Q222" t="s">
        <v>31</v>
      </c>
      <c r="R222">
        <v>164500</v>
      </c>
      <c r="S222" t="s">
        <v>63</v>
      </c>
      <c r="T222">
        <v>1</v>
      </c>
      <c r="U222">
        <v>0</v>
      </c>
      <c r="V222">
        <v>0</v>
      </c>
      <c r="W222">
        <v>0</v>
      </c>
      <c r="X222">
        <v>0</v>
      </c>
      <c r="Y222" s="2">
        <v>-10862.64</v>
      </c>
      <c r="Z222" s="2">
        <v>10863.64</v>
      </c>
      <c r="AA222">
        <v>0</v>
      </c>
    </row>
    <row r="223" spans="1:27" x14ac:dyDescent="0.35">
      <c r="A223">
        <v>2448</v>
      </c>
      <c r="B223">
        <v>0</v>
      </c>
      <c r="C223" s="1">
        <v>35606</v>
      </c>
      <c r="D223">
        <v>8</v>
      </c>
      <c r="E223" t="s">
        <v>20</v>
      </c>
      <c r="F223" t="s">
        <v>270</v>
      </c>
      <c r="G223" s="1">
        <v>35606</v>
      </c>
      <c r="H223" s="2">
        <v>100145.45</v>
      </c>
      <c r="I223" s="2">
        <f t="shared" si="3"/>
        <v>-100144.45</v>
      </c>
      <c r="J223">
        <v>1</v>
      </c>
      <c r="K223" t="s">
        <v>23</v>
      </c>
      <c r="L223">
        <v>10700040</v>
      </c>
      <c r="M223" t="s">
        <v>65</v>
      </c>
      <c r="N223">
        <v>33000</v>
      </c>
      <c r="O223" t="s">
        <v>30</v>
      </c>
      <c r="P223" t="s">
        <v>527</v>
      </c>
      <c r="Q223" t="s">
        <v>31</v>
      </c>
      <c r="R223">
        <v>164500</v>
      </c>
      <c r="S223" t="s">
        <v>63</v>
      </c>
      <c r="T223">
        <v>1</v>
      </c>
      <c r="U223">
        <v>0</v>
      </c>
      <c r="V223">
        <v>0</v>
      </c>
      <c r="W223">
        <v>0</v>
      </c>
      <c r="X223">
        <v>0</v>
      </c>
      <c r="Y223" s="2">
        <v>-83797.399999999994</v>
      </c>
      <c r="Z223" s="2">
        <v>83798.399999999994</v>
      </c>
      <c r="AA223">
        <v>0</v>
      </c>
    </row>
    <row r="224" spans="1:27" x14ac:dyDescent="0.35">
      <c r="A224">
        <v>2446</v>
      </c>
      <c r="B224">
        <v>0</v>
      </c>
      <c r="C224" s="1">
        <v>35665</v>
      </c>
      <c r="D224">
        <v>4</v>
      </c>
      <c r="E224" t="s">
        <v>20</v>
      </c>
      <c r="F224" t="s">
        <v>274</v>
      </c>
      <c r="G224" s="1">
        <v>35665</v>
      </c>
      <c r="H224" s="2">
        <v>67391.3</v>
      </c>
      <c r="I224" s="2">
        <f t="shared" si="3"/>
        <v>-67390.3</v>
      </c>
      <c r="J224">
        <v>1</v>
      </c>
      <c r="K224" t="s">
        <v>23</v>
      </c>
      <c r="L224">
        <v>10700040</v>
      </c>
      <c r="M224" t="s">
        <v>65</v>
      </c>
      <c r="N224">
        <v>33000</v>
      </c>
      <c r="O224" t="s">
        <v>30</v>
      </c>
      <c r="P224" t="s">
        <v>527</v>
      </c>
      <c r="Q224" t="s">
        <v>31</v>
      </c>
      <c r="R224">
        <v>164500</v>
      </c>
      <c r="S224" t="s">
        <v>63</v>
      </c>
      <c r="T224">
        <v>1</v>
      </c>
      <c r="U224">
        <v>0</v>
      </c>
      <c r="V224">
        <v>0</v>
      </c>
      <c r="W224">
        <v>0</v>
      </c>
      <c r="X224">
        <v>0</v>
      </c>
      <c r="Y224" s="2">
        <v>-42219.91</v>
      </c>
      <c r="Z224" s="2">
        <v>42220.91</v>
      </c>
      <c r="AA224">
        <v>0</v>
      </c>
    </row>
    <row r="225" spans="1:27" x14ac:dyDescent="0.35">
      <c r="A225">
        <v>2447</v>
      </c>
      <c r="B225">
        <v>0</v>
      </c>
      <c r="C225" s="1">
        <v>35665</v>
      </c>
      <c r="D225">
        <v>1</v>
      </c>
      <c r="E225" t="s">
        <v>20</v>
      </c>
      <c r="F225" t="s">
        <v>275</v>
      </c>
      <c r="G225" s="1">
        <v>35665</v>
      </c>
      <c r="H225" s="2">
        <v>1223374.8799999999</v>
      </c>
      <c r="I225" s="2">
        <f t="shared" si="3"/>
        <v>-1223373.8799999999</v>
      </c>
      <c r="J225">
        <v>1</v>
      </c>
      <c r="K225" t="s">
        <v>23</v>
      </c>
      <c r="L225">
        <v>10700040</v>
      </c>
      <c r="M225" t="s">
        <v>65</v>
      </c>
      <c r="N225">
        <v>33000</v>
      </c>
      <c r="O225" t="s">
        <v>30</v>
      </c>
      <c r="P225" t="s">
        <v>527</v>
      </c>
      <c r="Q225" t="s">
        <v>31</v>
      </c>
      <c r="R225">
        <v>164500</v>
      </c>
      <c r="S225" t="s">
        <v>63</v>
      </c>
      <c r="T225">
        <v>1</v>
      </c>
      <c r="U225">
        <v>0</v>
      </c>
      <c r="V225">
        <v>0</v>
      </c>
      <c r="W225">
        <v>0</v>
      </c>
      <c r="X225">
        <v>0</v>
      </c>
      <c r="Y225" s="2">
        <v>-85847.32</v>
      </c>
      <c r="Z225" s="2">
        <v>85848.320000000007</v>
      </c>
      <c r="AA225">
        <v>0</v>
      </c>
    </row>
    <row r="226" spans="1:27" x14ac:dyDescent="0.35">
      <c r="A226">
        <v>2445</v>
      </c>
      <c r="B226">
        <v>0</v>
      </c>
      <c r="C226" s="1">
        <v>35667</v>
      </c>
      <c r="D226">
        <v>3</v>
      </c>
      <c r="E226" t="s">
        <v>20</v>
      </c>
      <c r="F226" t="s">
        <v>276</v>
      </c>
      <c r="G226" s="1">
        <v>35667</v>
      </c>
      <c r="H226" s="2">
        <v>25225.23</v>
      </c>
      <c r="I226" s="2">
        <f t="shared" si="3"/>
        <v>-25224.23</v>
      </c>
      <c r="J226">
        <v>1</v>
      </c>
      <c r="K226" t="s">
        <v>23</v>
      </c>
      <c r="L226">
        <v>10700040</v>
      </c>
      <c r="M226" t="s">
        <v>65</v>
      </c>
      <c r="N226">
        <v>33000</v>
      </c>
      <c r="O226" t="s">
        <v>30</v>
      </c>
      <c r="P226" t="s">
        <v>527</v>
      </c>
      <c r="Q226" t="s">
        <v>31</v>
      </c>
      <c r="R226">
        <v>164500</v>
      </c>
      <c r="S226" t="s">
        <v>63</v>
      </c>
      <c r="T226">
        <v>1</v>
      </c>
      <c r="U226">
        <v>0</v>
      </c>
      <c r="V226">
        <v>0</v>
      </c>
      <c r="W226">
        <v>0</v>
      </c>
      <c r="X226">
        <v>0</v>
      </c>
      <c r="Y226" s="2">
        <v>-56537.32</v>
      </c>
      <c r="Z226" s="2">
        <v>56538.32</v>
      </c>
      <c r="AA226">
        <v>0</v>
      </c>
    </row>
    <row r="227" spans="1:27" x14ac:dyDescent="0.35">
      <c r="A227">
        <v>2444</v>
      </c>
      <c r="B227">
        <v>0</v>
      </c>
      <c r="C227" s="1">
        <v>35689</v>
      </c>
      <c r="D227">
        <v>1</v>
      </c>
      <c r="E227" t="s">
        <v>20</v>
      </c>
      <c r="F227" t="s">
        <v>278</v>
      </c>
      <c r="G227" s="1">
        <v>35689</v>
      </c>
      <c r="H227" s="2">
        <v>83798.399999999994</v>
      </c>
      <c r="I227" s="2">
        <f t="shared" si="3"/>
        <v>-83797.399999999994</v>
      </c>
      <c r="J227">
        <v>1</v>
      </c>
      <c r="K227" t="s">
        <v>23</v>
      </c>
      <c r="L227">
        <v>10700040</v>
      </c>
      <c r="M227" t="s">
        <v>65</v>
      </c>
      <c r="N227">
        <v>33000</v>
      </c>
      <c r="O227" t="s">
        <v>30</v>
      </c>
      <c r="P227" t="s">
        <v>527</v>
      </c>
      <c r="Q227" t="s">
        <v>31</v>
      </c>
      <c r="R227">
        <v>164500</v>
      </c>
      <c r="S227" t="s">
        <v>63</v>
      </c>
      <c r="T227">
        <v>1</v>
      </c>
      <c r="U227">
        <v>0</v>
      </c>
      <c r="V227">
        <v>0</v>
      </c>
      <c r="W227">
        <v>0</v>
      </c>
      <c r="X227">
        <v>0</v>
      </c>
      <c r="Y227" s="2">
        <v>-25791.8</v>
      </c>
      <c r="Z227" s="2">
        <v>25792.799999999999</v>
      </c>
      <c r="AA227">
        <v>0</v>
      </c>
    </row>
    <row r="228" spans="1:27" x14ac:dyDescent="0.35">
      <c r="A228">
        <v>2443</v>
      </c>
      <c r="B228">
        <v>0</v>
      </c>
      <c r="C228" s="1">
        <v>35746</v>
      </c>
      <c r="D228">
        <v>1</v>
      </c>
      <c r="E228" t="s">
        <v>20</v>
      </c>
      <c r="F228" t="s">
        <v>279</v>
      </c>
      <c r="G228" s="1">
        <v>35746</v>
      </c>
      <c r="H228" s="2">
        <v>42220.91</v>
      </c>
      <c r="I228" s="2">
        <f t="shared" si="3"/>
        <v>-42219.91</v>
      </c>
      <c r="J228">
        <v>1</v>
      </c>
      <c r="K228" t="s">
        <v>23</v>
      </c>
      <c r="L228">
        <v>10700040</v>
      </c>
      <c r="M228" t="s">
        <v>65</v>
      </c>
      <c r="N228">
        <v>33000</v>
      </c>
      <c r="O228" t="s">
        <v>30</v>
      </c>
      <c r="P228" t="s">
        <v>527</v>
      </c>
      <c r="Q228" t="s">
        <v>31</v>
      </c>
      <c r="R228">
        <v>164500</v>
      </c>
      <c r="S228" t="s">
        <v>63</v>
      </c>
      <c r="T228">
        <v>1</v>
      </c>
      <c r="U228">
        <v>0</v>
      </c>
      <c r="V228">
        <v>0</v>
      </c>
      <c r="W228">
        <v>0</v>
      </c>
      <c r="X228">
        <v>0</v>
      </c>
      <c r="Y228" s="2">
        <v>-175582.6</v>
      </c>
      <c r="Z228" s="2">
        <v>175583.6</v>
      </c>
      <c r="AA228">
        <v>0</v>
      </c>
    </row>
    <row r="229" spans="1:27" x14ac:dyDescent="0.35">
      <c r="A229">
        <v>2440</v>
      </c>
      <c r="B229">
        <v>0</v>
      </c>
      <c r="C229" s="1">
        <v>35754</v>
      </c>
      <c r="D229">
        <v>6</v>
      </c>
      <c r="E229" t="s">
        <v>20</v>
      </c>
      <c r="F229" t="s">
        <v>280</v>
      </c>
      <c r="G229" s="1">
        <v>35754</v>
      </c>
      <c r="H229" s="2">
        <v>85848.320000000007</v>
      </c>
      <c r="I229" s="2">
        <f t="shared" si="3"/>
        <v>-85847.32</v>
      </c>
      <c r="J229">
        <v>1</v>
      </c>
      <c r="K229" t="s">
        <v>23</v>
      </c>
      <c r="L229">
        <v>10700040</v>
      </c>
      <c r="M229" t="s">
        <v>65</v>
      </c>
      <c r="N229">
        <v>33000</v>
      </c>
      <c r="O229" t="s">
        <v>30</v>
      </c>
      <c r="P229" t="s">
        <v>527</v>
      </c>
      <c r="Q229" t="s">
        <v>31</v>
      </c>
      <c r="R229">
        <v>164500</v>
      </c>
      <c r="S229" t="s">
        <v>63</v>
      </c>
      <c r="T229">
        <v>1</v>
      </c>
      <c r="U229">
        <v>0</v>
      </c>
      <c r="V229">
        <v>0</v>
      </c>
      <c r="W229">
        <v>0</v>
      </c>
      <c r="X229">
        <v>0</v>
      </c>
      <c r="Y229" s="2">
        <v>-78795.649999999994</v>
      </c>
      <c r="Z229" s="2">
        <v>78796.649999999994</v>
      </c>
      <c r="AA229">
        <v>0</v>
      </c>
    </row>
    <row r="230" spans="1:27" x14ac:dyDescent="0.35">
      <c r="A230">
        <v>2441</v>
      </c>
      <c r="B230">
        <v>0</v>
      </c>
      <c r="C230" s="1">
        <v>35754</v>
      </c>
      <c r="D230">
        <v>4</v>
      </c>
      <c r="E230" t="s">
        <v>20</v>
      </c>
      <c r="F230" t="s">
        <v>281</v>
      </c>
      <c r="G230" s="1">
        <v>35754</v>
      </c>
      <c r="H230" s="2">
        <v>56538.32</v>
      </c>
      <c r="I230" s="2">
        <f t="shared" si="3"/>
        <v>-56537.32</v>
      </c>
      <c r="J230">
        <v>1</v>
      </c>
      <c r="K230" t="s">
        <v>23</v>
      </c>
      <c r="L230">
        <v>10700040</v>
      </c>
      <c r="M230" t="s">
        <v>65</v>
      </c>
      <c r="N230">
        <v>33000</v>
      </c>
      <c r="O230" t="s">
        <v>30</v>
      </c>
      <c r="P230" t="s">
        <v>527</v>
      </c>
      <c r="Q230" t="s">
        <v>31</v>
      </c>
      <c r="R230">
        <v>164500</v>
      </c>
      <c r="S230" t="s">
        <v>63</v>
      </c>
      <c r="T230">
        <v>1</v>
      </c>
      <c r="U230">
        <v>0</v>
      </c>
      <c r="V230">
        <v>0</v>
      </c>
      <c r="W230">
        <v>0</v>
      </c>
      <c r="X230">
        <v>0</v>
      </c>
      <c r="Y230" s="2">
        <v>-53078.89</v>
      </c>
      <c r="Z230" s="2">
        <v>53079.89</v>
      </c>
      <c r="AA230">
        <v>0</v>
      </c>
    </row>
    <row r="231" spans="1:27" x14ac:dyDescent="0.35">
      <c r="A231">
        <v>2442</v>
      </c>
      <c r="B231">
        <v>0</v>
      </c>
      <c r="C231" s="1">
        <v>35754</v>
      </c>
      <c r="D231">
        <v>4</v>
      </c>
      <c r="E231" t="s">
        <v>20</v>
      </c>
      <c r="F231" t="s">
        <v>282</v>
      </c>
      <c r="G231" s="1">
        <v>35754</v>
      </c>
      <c r="H231" s="2">
        <v>25792.799999999999</v>
      </c>
      <c r="I231" s="2">
        <f t="shared" si="3"/>
        <v>-25791.8</v>
      </c>
      <c r="J231">
        <v>1</v>
      </c>
      <c r="K231" t="s">
        <v>23</v>
      </c>
      <c r="L231">
        <v>10700040</v>
      </c>
      <c r="M231" t="s">
        <v>65</v>
      </c>
      <c r="N231">
        <v>33000</v>
      </c>
      <c r="O231" t="s">
        <v>30</v>
      </c>
      <c r="P231" t="s">
        <v>527</v>
      </c>
      <c r="Q231" t="s">
        <v>31</v>
      </c>
      <c r="R231">
        <v>164500</v>
      </c>
      <c r="S231" t="s">
        <v>63</v>
      </c>
      <c r="T231">
        <v>1</v>
      </c>
      <c r="U231">
        <v>0</v>
      </c>
      <c r="V231">
        <v>0</v>
      </c>
      <c r="W231">
        <v>0</v>
      </c>
      <c r="X231">
        <v>0</v>
      </c>
      <c r="Y231" s="2">
        <v>-5312.64</v>
      </c>
      <c r="Z231" s="2">
        <v>5313.64</v>
      </c>
      <c r="AA231">
        <v>0</v>
      </c>
    </row>
    <row r="232" spans="1:27" x14ac:dyDescent="0.35">
      <c r="A232">
        <v>2438</v>
      </c>
      <c r="B232">
        <v>0</v>
      </c>
      <c r="C232" s="1">
        <v>35817</v>
      </c>
      <c r="D232">
        <v>1</v>
      </c>
      <c r="E232" t="s">
        <v>20</v>
      </c>
      <c r="F232" t="s">
        <v>287</v>
      </c>
      <c r="G232" s="1">
        <v>35817</v>
      </c>
      <c r="H232" s="2">
        <v>10316.86</v>
      </c>
      <c r="I232" s="2">
        <f t="shared" si="3"/>
        <v>-10315.86</v>
      </c>
      <c r="J232">
        <v>1</v>
      </c>
      <c r="K232" t="s">
        <v>23</v>
      </c>
      <c r="L232">
        <v>10700040</v>
      </c>
      <c r="M232" t="s">
        <v>65</v>
      </c>
      <c r="N232">
        <v>33000</v>
      </c>
      <c r="O232" t="s">
        <v>30</v>
      </c>
      <c r="P232" t="s">
        <v>527</v>
      </c>
      <c r="Q232" t="s">
        <v>31</v>
      </c>
      <c r="R232">
        <v>164500</v>
      </c>
      <c r="S232" t="s">
        <v>63</v>
      </c>
      <c r="T232">
        <v>1</v>
      </c>
      <c r="U232">
        <v>0</v>
      </c>
      <c r="V232">
        <v>0</v>
      </c>
      <c r="W232">
        <v>0</v>
      </c>
      <c r="X232">
        <v>0</v>
      </c>
      <c r="Y232" s="2">
        <v>-10315.86</v>
      </c>
      <c r="Z232" s="2">
        <v>10316.86</v>
      </c>
      <c r="AA232">
        <v>0</v>
      </c>
    </row>
    <row r="233" spans="1:27" x14ac:dyDescent="0.35">
      <c r="A233">
        <v>2439</v>
      </c>
      <c r="B233">
        <v>0</v>
      </c>
      <c r="C233" s="1">
        <v>35817</v>
      </c>
      <c r="D233">
        <v>1</v>
      </c>
      <c r="E233" t="s">
        <v>20</v>
      </c>
      <c r="F233" t="s">
        <v>288</v>
      </c>
      <c r="G233" s="1">
        <v>35817</v>
      </c>
      <c r="H233" s="2">
        <v>5043.8</v>
      </c>
      <c r="I233" s="2">
        <f t="shared" si="3"/>
        <v>-5042.8</v>
      </c>
      <c r="J233">
        <v>1</v>
      </c>
      <c r="K233" t="s">
        <v>23</v>
      </c>
      <c r="L233">
        <v>10700040</v>
      </c>
      <c r="M233" t="s">
        <v>65</v>
      </c>
      <c r="N233">
        <v>33000</v>
      </c>
      <c r="O233" t="s">
        <v>30</v>
      </c>
      <c r="P233" t="s">
        <v>527</v>
      </c>
      <c r="Q233" t="s">
        <v>31</v>
      </c>
      <c r="R233">
        <v>164500</v>
      </c>
      <c r="S233" t="s">
        <v>63</v>
      </c>
      <c r="T233">
        <v>1</v>
      </c>
      <c r="U233">
        <v>0</v>
      </c>
      <c r="V233">
        <v>0</v>
      </c>
      <c r="W233">
        <v>0</v>
      </c>
      <c r="X233">
        <v>0</v>
      </c>
      <c r="Y233" s="2">
        <v>-5042.8</v>
      </c>
      <c r="Z233" s="2">
        <v>5043.8</v>
      </c>
      <c r="AA233">
        <v>0</v>
      </c>
    </row>
    <row r="234" spans="1:27" x14ac:dyDescent="0.35">
      <c r="A234">
        <v>2436</v>
      </c>
      <c r="B234">
        <v>0</v>
      </c>
      <c r="C234" s="1">
        <v>35863</v>
      </c>
      <c r="D234">
        <v>1</v>
      </c>
      <c r="E234" t="s">
        <v>20</v>
      </c>
      <c r="F234" t="s">
        <v>289</v>
      </c>
      <c r="G234" s="1">
        <v>35863</v>
      </c>
      <c r="H234" s="2">
        <v>12600</v>
      </c>
      <c r="I234" s="2">
        <f t="shared" si="3"/>
        <v>-12599</v>
      </c>
      <c r="J234">
        <v>1</v>
      </c>
      <c r="K234" t="s">
        <v>23</v>
      </c>
      <c r="L234">
        <v>10700040</v>
      </c>
      <c r="M234" t="s">
        <v>65</v>
      </c>
      <c r="N234">
        <v>33000</v>
      </c>
      <c r="O234" t="s">
        <v>30</v>
      </c>
      <c r="P234" t="s">
        <v>527</v>
      </c>
      <c r="Q234" t="s">
        <v>31</v>
      </c>
      <c r="R234">
        <v>164500</v>
      </c>
      <c r="S234" t="s">
        <v>63</v>
      </c>
      <c r="T234">
        <v>1</v>
      </c>
      <c r="U234">
        <v>0</v>
      </c>
      <c r="V234">
        <v>0</v>
      </c>
      <c r="W234">
        <v>0</v>
      </c>
      <c r="X234">
        <v>0</v>
      </c>
      <c r="Y234" s="2">
        <v>-12599</v>
      </c>
      <c r="Z234" s="2">
        <v>12600</v>
      </c>
      <c r="AA234">
        <v>0</v>
      </c>
    </row>
    <row r="235" spans="1:27" x14ac:dyDescent="0.35">
      <c r="A235">
        <v>2437</v>
      </c>
      <c r="B235">
        <v>0</v>
      </c>
      <c r="C235" s="1">
        <v>35863</v>
      </c>
      <c r="D235">
        <v>2</v>
      </c>
      <c r="E235" t="s">
        <v>20</v>
      </c>
      <c r="F235" t="s">
        <v>290</v>
      </c>
      <c r="G235" s="1">
        <v>35863</v>
      </c>
      <c r="H235" s="2">
        <v>12000</v>
      </c>
      <c r="I235" s="2">
        <f t="shared" si="3"/>
        <v>-11999</v>
      </c>
      <c r="J235">
        <v>1</v>
      </c>
      <c r="K235" t="s">
        <v>23</v>
      </c>
      <c r="L235">
        <v>10700040</v>
      </c>
      <c r="M235" t="s">
        <v>65</v>
      </c>
      <c r="N235">
        <v>33000</v>
      </c>
      <c r="O235" t="s">
        <v>30</v>
      </c>
      <c r="P235" t="s">
        <v>527</v>
      </c>
      <c r="Q235" t="s">
        <v>31</v>
      </c>
      <c r="R235">
        <v>164500</v>
      </c>
      <c r="S235" t="s">
        <v>63</v>
      </c>
      <c r="T235">
        <v>1</v>
      </c>
      <c r="U235">
        <v>0</v>
      </c>
      <c r="V235">
        <v>0</v>
      </c>
      <c r="W235">
        <v>0</v>
      </c>
      <c r="X235">
        <v>0</v>
      </c>
      <c r="Y235" s="2">
        <v>-11999</v>
      </c>
      <c r="Z235" s="2">
        <v>12000</v>
      </c>
      <c r="AA235">
        <v>0</v>
      </c>
    </row>
    <row r="236" spans="1:27" x14ac:dyDescent="0.35">
      <c r="A236">
        <v>2434</v>
      </c>
      <c r="B236">
        <v>0</v>
      </c>
      <c r="C236" s="1">
        <v>35879</v>
      </c>
      <c r="D236">
        <v>3</v>
      </c>
      <c r="E236" t="s">
        <v>20</v>
      </c>
      <c r="F236" t="s">
        <v>291</v>
      </c>
      <c r="G236" s="1">
        <v>35879</v>
      </c>
      <c r="H236" s="2">
        <v>28036.36</v>
      </c>
      <c r="I236" s="2">
        <f t="shared" si="3"/>
        <v>-28035.360000000001</v>
      </c>
      <c r="J236">
        <v>1</v>
      </c>
      <c r="K236" t="s">
        <v>23</v>
      </c>
      <c r="L236">
        <v>10700040</v>
      </c>
      <c r="M236" t="s">
        <v>65</v>
      </c>
      <c r="N236">
        <v>33000</v>
      </c>
      <c r="O236" t="s">
        <v>30</v>
      </c>
      <c r="P236" t="s">
        <v>527</v>
      </c>
      <c r="Q236" t="s">
        <v>31</v>
      </c>
      <c r="R236">
        <v>164500</v>
      </c>
      <c r="S236" t="s">
        <v>63</v>
      </c>
      <c r="T236">
        <v>1</v>
      </c>
      <c r="U236">
        <v>0</v>
      </c>
      <c r="V236">
        <v>0</v>
      </c>
      <c r="W236">
        <v>0</v>
      </c>
      <c r="X236">
        <v>0</v>
      </c>
      <c r="Y236" s="2">
        <v>-28035.360000000001</v>
      </c>
      <c r="Z236" s="2">
        <v>28036.36</v>
      </c>
      <c r="AA236">
        <v>0</v>
      </c>
    </row>
    <row r="237" spans="1:27" x14ac:dyDescent="0.35">
      <c r="A237">
        <v>2435</v>
      </c>
      <c r="B237">
        <v>0</v>
      </c>
      <c r="C237" s="1">
        <v>35879</v>
      </c>
      <c r="D237">
        <v>5</v>
      </c>
      <c r="E237" t="s">
        <v>20</v>
      </c>
      <c r="F237" t="s">
        <v>292</v>
      </c>
      <c r="G237" s="1">
        <v>35879</v>
      </c>
      <c r="H237" s="2">
        <v>29545.45</v>
      </c>
      <c r="I237" s="2">
        <f t="shared" si="3"/>
        <v>-29544.45</v>
      </c>
      <c r="J237">
        <v>1</v>
      </c>
      <c r="K237" t="s">
        <v>23</v>
      </c>
      <c r="L237">
        <v>10700040</v>
      </c>
      <c r="M237" t="s">
        <v>65</v>
      </c>
      <c r="N237">
        <v>33000</v>
      </c>
      <c r="O237" t="s">
        <v>30</v>
      </c>
      <c r="P237" t="s">
        <v>527</v>
      </c>
      <c r="Q237" t="s">
        <v>31</v>
      </c>
      <c r="R237">
        <v>164500</v>
      </c>
      <c r="S237" t="s">
        <v>63</v>
      </c>
      <c r="T237">
        <v>1</v>
      </c>
      <c r="U237">
        <v>0</v>
      </c>
      <c r="V237">
        <v>0</v>
      </c>
      <c r="W237">
        <v>0</v>
      </c>
      <c r="X237">
        <v>0</v>
      </c>
      <c r="Y237" s="2">
        <v>-29544.45</v>
      </c>
      <c r="Z237" s="2">
        <v>29545.45</v>
      </c>
      <c r="AA237">
        <v>0</v>
      </c>
    </row>
    <row r="238" spans="1:27" x14ac:dyDescent="0.35">
      <c r="A238">
        <v>2433</v>
      </c>
      <c r="B238">
        <v>0</v>
      </c>
      <c r="C238" s="1">
        <v>35901</v>
      </c>
      <c r="D238">
        <v>2</v>
      </c>
      <c r="E238" t="s">
        <v>20</v>
      </c>
      <c r="F238" t="s">
        <v>293</v>
      </c>
      <c r="G238" s="1">
        <v>35901</v>
      </c>
      <c r="H238" s="2">
        <v>53829.09</v>
      </c>
      <c r="I238" s="2">
        <f t="shared" si="3"/>
        <v>-53828.09</v>
      </c>
      <c r="J238">
        <v>1</v>
      </c>
      <c r="K238" t="s">
        <v>23</v>
      </c>
      <c r="L238">
        <v>10700040</v>
      </c>
      <c r="M238" t="s">
        <v>65</v>
      </c>
      <c r="N238">
        <v>33000</v>
      </c>
      <c r="O238" t="s">
        <v>30</v>
      </c>
      <c r="P238" t="s">
        <v>527</v>
      </c>
      <c r="Q238" t="s">
        <v>31</v>
      </c>
      <c r="R238">
        <v>164500</v>
      </c>
      <c r="S238" t="s">
        <v>63</v>
      </c>
      <c r="T238">
        <v>1</v>
      </c>
      <c r="U238">
        <v>0</v>
      </c>
      <c r="V238">
        <v>0</v>
      </c>
      <c r="W238">
        <v>0</v>
      </c>
      <c r="X238">
        <v>0</v>
      </c>
      <c r="Y238" s="2">
        <v>-53828.09</v>
      </c>
      <c r="Z238" s="2">
        <v>53829.09</v>
      </c>
      <c r="AA238">
        <v>0</v>
      </c>
    </row>
    <row r="239" spans="1:27" x14ac:dyDescent="0.35">
      <c r="A239">
        <v>2432</v>
      </c>
      <c r="B239">
        <v>0</v>
      </c>
      <c r="C239" s="1">
        <v>35918</v>
      </c>
      <c r="D239">
        <v>2</v>
      </c>
      <c r="E239" t="s">
        <v>20</v>
      </c>
      <c r="F239" t="s">
        <v>294</v>
      </c>
      <c r="G239" s="1">
        <v>35918</v>
      </c>
      <c r="H239" s="2">
        <v>43636.36</v>
      </c>
      <c r="I239" s="2">
        <f t="shared" si="3"/>
        <v>-43635.360000000001</v>
      </c>
      <c r="J239">
        <v>1</v>
      </c>
      <c r="K239" t="s">
        <v>23</v>
      </c>
      <c r="L239">
        <v>10700040</v>
      </c>
      <c r="M239" t="s">
        <v>65</v>
      </c>
      <c r="N239">
        <v>33000</v>
      </c>
      <c r="O239" t="s">
        <v>30</v>
      </c>
      <c r="P239" t="s">
        <v>527</v>
      </c>
      <c r="Q239" t="s">
        <v>31</v>
      </c>
      <c r="R239">
        <v>164500</v>
      </c>
      <c r="S239" t="s">
        <v>63</v>
      </c>
      <c r="T239">
        <v>1</v>
      </c>
      <c r="U239">
        <v>0</v>
      </c>
      <c r="V239">
        <v>0</v>
      </c>
      <c r="W239">
        <v>0</v>
      </c>
      <c r="X239">
        <v>0</v>
      </c>
      <c r="Y239" s="2">
        <v>-43635.360000000001</v>
      </c>
      <c r="Z239" s="2">
        <v>43636.36</v>
      </c>
      <c r="AA239">
        <v>0</v>
      </c>
    </row>
    <row r="240" spans="1:27" x14ac:dyDescent="0.35">
      <c r="A240">
        <v>2431</v>
      </c>
      <c r="B240">
        <v>0</v>
      </c>
      <c r="C240" s="1">
        <v>35951</v>
      </c>
      <c r="D240">
        <v>1</v>
      </c>
      <c r="E240" t="s">
        <v>20</v>
      </c>
      <c r="F240" t="s">
        <v>295</v>
      </c>
      <c r="G240" s="1">
        <v>35951</v>
      </c>
      <c r="H240" s="2">
        <v>33245.449999999997</v>
      </c>
      <c r="I240" s="2">
        <f t="shared" si="3"/>
        <v>-33244.449999999997</v>
      </c>
      <c r="J240">
        <v>1</v>
      </c>
      <c r="K240" t="s">
        <v>23</v>
      </c>
      <c r="L240">
        <v>10700040</v>
      </c>
      <c r="M240" t="s">
        <v>65</v>
      </c>
      <c r="N240">
        <v>33000</v>
      </c>
      <c r="O240" t="s">
        <v>30</v>
      </c>
      <c r="P240" t="s">
        <v>527</v>
      </c>
      <c r="Q240" t="s">
        <v>31</v>
      </c>
      <c r="R240">
        <v>164500</v>
      </c>
      <c r="S240" t="s">
        <v>63</v>
      </c>
      <c r="T240">
        <v>1</v>
      </c>
      <c r="U240">
        <v>0</v>
      </c>
      <c r="V240">
        <v>0</v>
      </c>
      <c r="W240">
        <v>0</v>
      </c>
      <c r="X240">
        <v>0</v>
      </c>
      <c r="Y240" s="2">
        <v>-33244.449999999997</v>
      </c>
      <c r="Z240" s="2">
        <v>33245.449999999997</v>
      </c>
      <c r="AA240">
        <v>0</v>
      </c>
    </row>
    <row r="241" spans="1:27" x14ac:dyDescent="0.35">
      <c r="A241">
        <v>2430</v>
      </c>
      <c r="B241">
        <v>0</v>
      </c>
      <c r="C241" s="1">
        <v>35961</v>
      </c>
      <c r="D241">
        <v>1</v>
      </c>
      <c r="E241" t="s">
        <v>20</v>
      </c>
      <c r="F241" t="s">
        <v>296</v>
      </c>
      <c r="G241" s="1">
        <v>35961</v>
      </c>
      <c r="H241" s="2">
        <v>22727.27</v>
      </c>
      <c r="I241" s="2">
        <f t="shared" si="3"/>
        <v>-22726.27</v>
      </c>
      <c r="J241">
        <v>1</v>
      </c>
      <c r="K241" t="s">
        <v>23</v>
      </c>
      <c r="L241">
        <v>10700040</v>
      </c>
      <c r="M241" t="s">
        <v>65</v>
      </c>
      <c r="N241">
        <v>33000</v>
      </c>
      <c r="O241" t="s">
        <v>30</v>
      </c>
      <c r="P241" t="s">
        <v>527</v>
      </c>
      <c r="Q241" t="s">
        <v>31</v>
      </c>
      <c r="R241">
        <v>164500</v>
      </c>
      <c r="S241" t="s">
        <v>63</v>
      </c>
      <c r="T241">
        <v>1</v>
      </c>
      <c r="U241">
        <v>0</v>
      </c>
      <c r="V241">
        <v>0</v>
      </c>
      <c r="W241">
        <v>0</v>
      </c>
      <c r="X241">
        <v>0</v>
      </c>
      <c r="Y241" s="2">
        <v>-22726.27</v>
      </c>
      <c r="Z241" s="2">
        <v>22727.27</v>
      </c>
      <c r="AA241">
        <v>0</v>
      </c>
    </row>
    <row r="242" spans="1:27" x14ac:dyDescent="0.35">
      <c r="A242">
        <v>2429</v>
      </c>
      <c r="B242">
        <v>0</v>
      </c>
      <c r="C242" s="1">
        <v>35987</v>
      </c>
      <c r="D242">
        <v>4</v>
      </c>
      <c r="E242" t="s">
        <v>20</v>
      </c>
      <c r="F242" t="s">
        <v>299</v>
      </c>
      <c r="G242" s="1">
        <v>35987</v>
      </c>
      <c r="H242" s="2">
        <v>24945.45</v>
      </c>
      <c r="I242" s="2">
        <f t="shared" si="3"/>
        <v>-24944.45</v>
      </c>
      <c r="J242">
        <v>1</v>
      </c>
      <c r="K242" t="s">
        <v>23</v>
      </c>
      <c r="L242">
        <v>10700040</v>
      </c>
      <c r="M242" t="s">
        <v>65</v>
      </c>
      <c r="N242">
        <v>33000</v>
      </c>
      <c r="O242" t="s">
        <v>30</v>
      </c>
      <c r="P242" t="s">
        <v>527</v>
      </c>
      <c r="Q242" t="s">
        <v>31</v>
      </c>
      <c r="R242">
        <v>164500</v>
      </c>
      <c r="S242" t="s">
        <v>63</v>
      </c>
      <c r="T242">
        <v>1</v>
      </c>
      <c r="U242">
        <v>0</v>
      </c>
      <c r="V242">
        <v>0</v>
      </c>
      <c r="W242">
        <v>0</v>
      </c>
      <c r="X242">
        <v>0</v>
      </c>
      <c r="Y242" s="2">
        <v>-11962.64</v>
      </c>
      <c r="Z242" s="2">
        <v>11963.64</v>
      </c>
      <c r="AA242">
        <v>0</v>
      </c>
    </row>
    <row r="243" spans="1:27" x14ac:dyDescent="0.35">
      <c r="A243">
        <v>2428</v>
      </c>
      <c r="B243">
        <v>0</v>
      </c>
      <c r="C243" s="1">
        <v>35996</v>
      </c>
      <c r="D243">
        <v>3</v>
      </c>
      <c r="E243" t="s">
        <v>20</v>
      </c>
      <c r="F243" t="s">
        <v>293</v>
      </c>
      <c r="G243" s="1">
        <v>35996</v>
      </c>
      <c r="H243" s="2">
        <v>80743.64</v>
      </c>
      <c r="I243" s="2">
        <f t="shared" si="3"/>
        <v>-80742.64</v>
      </c>
      <c r="J243">
        <v>1</v>
      </c>
      <c r="K243" t="s">
        <v>23</v>
      </c>
      <c r="L243">
        <v>10700040</v>
      </c>
      <c r="M243" t="s">
        <v>65</v>
      </c>
      <c r="N243">
        <v>33000</v>
      </c>
      <c r="O243" t="s">
        <v>30</v>
      </c>
      <c r="P243" t="s">
        <v>527</v>
      </c>
      <c r="Q243" t="s">
        <v>31</v>
      </c>
      <c r="R243">
        <v>164500</v>
      </c>
      <c r="S243" t="s">
        <v>63</v>
      </c>
      <c r="T243">
        <v>1</v>
      </c>
      <c r="U243">
        <v>0</v>
      </c>
      <c r="V243">
        <v>0</v>
      </c>
      <c r="W243">
        <v>0</v>
      </c>
      <c r="X243">
        <v>0</v>
      </c>
      <c r="Y243" s="2">
        <v>-5980.82</v>
      </c>
      <c r="Z243" s="2">
        <v>5981.82</v>
      </c>
      <c r="AA243">
        <v>0</v>
      </c>
    </row>
    <row r="244" spans="1:27" x14ac:dyDescent="0.35">
      <c r="A244">
        <v>2427</v>
      </c>
      <c r="B244">
        <v>0</v>
      </c>
      <c r="C244" s="1">
        <v>36006</v>
      </c>
      <c r="D244">
        <v>2</v>
      </c>
      <c r="E244" t="s">
        <v>20</v>
      </c>
      <c r="F244" t="s">
        <v>301</v>
      </c>
      <c r="G244" s="1">
        <v>36006</v>
      </c>
      <c r="H244" s="2">
        <v>40476.36</v>
      </c>
      <c r="I244" s="2">
        <f t="shared" si="3"/>
        <v>-40475.360000000001</v>
      </c>
      <c r="J244">
        <v>1</v>
      </c>
      <c r="K244" t="s">
        <v>23</v>
      </c>
      <c r="L244">
        <v>10700040</v>
      </c>
      <c r="M244" t="s">
        <v>65</v>
      </c>
      <c r="N244">
        <v>33000</v>
      </c>
      <c r="O244" t="s">
        <v>30</v>
      </c>
      <c r="P244" t="s">
        <v>527</v>
      </c>
      <c r="Q244" t="s">
        <v>31</v>
      </c>
      <c r="R244">
        <v>164500</v>
      </c>
      <c r="S244" t="s">
        <v>63</v>
      </c>
      <c r="T244">
        <v>1</v>
      </c>
      <c r="U244">
        <v>0</v>
      </c>
      <c r="V244">
        <v>0</v>
      </c>
      <c r="W244">
        <v>0</v>
      </c>
      <c r="X244">
        <v>0</v>
      </c>
      <c r="Y244" s="2">
        <v>-5980.82</v>
      </c>
      <c r="Z244" s="2">
        <v>5981.82</v>
      </c>
      <c r="AA244">
        <v>0</v>
      </c>
    </row>
    <row r="245" spans="1:27" x14ac:dyDescent="0.35">
      <c r="A245">
        <v>2426</v>
      </c>
      <c r="B245">
        <v>0</v>
      </c>
      <c r="C245" s="1">
        <v>36049</v>
      </c>
      <c r="D245">
        <v>1</v>
      </c>
      <c r="E245" t="s">
        <v>20</v>
      </c>
      <c r="F245" t="s">
        <v>304</v>
      </c>
      <c r="G245" s="1">
        <v>36049</v>
      </c>
      <c r="H245" s="2">
        <v>47272.73</v>
      </c>
      <c r="I245" s="2">
        <f t="shared" si="3"/>
        <v>-47271.73</v>
      </c>
      <c r="J245">
        <v>1</v>
      </c>
      <c r="K245" t="s">
        <v>23</v>
      </c>
      <c r="L245">
        <v>10700040</v>
      </c>
      <c r="M245" t="s">
        <v>65</v>
      </c>
      <c r="N245">
        <v>33000</v>
      </c>
      <c r="O245" t="s">
        <v>30</v>
      </c>
      <c r="P245" t="s">
        <v>527</v>
      </c>
      <c r="Q245" t="s">
        <v>31</v>
      </c>
      <c r="R245">
        <v>164500</v>
      </c>
      <c r="S245" t="s">
        <v>63</v>
      </c>
      <c r="T245">
        <v>1</v>
      </c>
      <c r="U245">
        <v>0</v>
      </c>
      <c r="V245">
        <v>0</v>
      </c>
      <c r="W245">
        <v>0</v>
      </c>
      <c r="X245">
        <v>0</v>
      </c>
      <c r="Y245" s="2">
        <v>-5980.82</v>
      </c>
      <c r="Z245" s="2">
        <v>5981.82</v>
      </c>
      <c r="AA245">
        <v>0</v>
      </c>
    </row>
    <row r="246" spans="1:27" x14ac:dyDescent="0.35">
      <c r="A246">
        <v>2425</v>
      </c>
      <c r="B246">
        <v>0</v>
      </c>
      <c r="C246" s="1">
        <v>36276</v>
      </c>
      <c r="D246">
        <v>1</v>
      </c>
      <c r="E246" t="s">
        <v>20</v>
      </c>
      <c r="F246" t="s">
        <v>307</v>
      </c>
      <c r="G246" s="1">
        <v>36276</v>
      </c>
      <c r="H246" s="2">
        <v>5454.55</v>
      </c>
      <c r="I246" s="2">
        <f t="shared" si="3"/>
        <v>-5453.55</v>
      </c>
      <c r="J246">
        <v>1</v>
      </c>
      <c r="K246" t="s">
        <v>23</v>
      </c>
      <c r="L246">
        <v>10700040</v>
      </c>
      <c r="M246" t="s">
        <v>65</v>
      </c>
      <c r="N246">
        <v>33000</v>
      </c>
      <c r="O246" t="s">
        <v>30</v>
      </c>
      <c r="P246" t="s">
        <v>527</v>
      </c>
      <c r="Q246" t="s">
        <v>31</v>
      </c>
      <c r="R246">
        <v>164500</v>
      </c>
      <c r="S246" t="s">
        <v>63</v>
      </c>
      <c r="T246">
        <v>1</v>
      </c>
      <c r="U246">
        <v>0</v>
      </c>
      <c r="V246">
        <v>0</v>
      </c>
      <c r="W246">
        <v>0</v>
      </c>
      <c r="X246">
        <v>0</v>
      </c>
      <c r="Y246" s="2">
        <v>-5889.91</v>
      </c>
      <c r="Z246" s="2">
        <v>5890.91</v>
      </c>
      <c r="AA246">
        <v>0</v>
      </c>
    </row>
    <row r="247" spans="1:27" x14ac:dyDescent="0.35">
      <c r="A247">
        <v>2424</v>
      </c>
      <c r="B247">
        <v>0</v>
      </c>
      <c r="C247" s="1">
        <v>36277</v>
      </c>
      <c r="D247">
        <v>1</v>
      </c>
      <c r="E247" t="s">
        <v>20</v>
      </c>
      <c r="F247" t="s">
        <v>308</v>
      </c>
      <c r="G247" s="1">
        <v>36277</v>
      </c>
      <c r="H247" s="2">
        <v>7727.27</v>
      </c>
      <c r="I247" s="2">
        <f t="shared" si="3"/>
        <v>-7726.27</v>
      </c>
      <c r="J247">
        <v>1</v>
      </c>
      <c r="K247" t="s">
        <v>23</v>
      </c>
      <c r="L247">
        <v>10700040</v>
      </c>
      <c r="M247" t="s">
        <v>65</v>
      </c>
      <c r="N247">
        <v>33000</v>
      </c>
      <c r="O247" t="s">
        <v>30</v>
      </c>
      <c r="P247" t="s">
        <v>527</v>
      </c>
      <c r="Q247" t="s">
        <v>31</v>
      </c>
      <c r="R247">
        <v>164500</v>
      </c>
      <c r="S247" t="s">
        <v>63</v>
      </c>
      <c r="T247">
        <v>1</v>
      </c>
      <c r="U247">
        <v>0</v>
      </c>
      <c r="V247">
        <v>0</v>
      </c>
      <c r="W247">
        <v>0</v>
      </c>
      <c r="X247">
        <v>0</v>
      </c>
      <c r="Y247" s="2">
        <v>-24944.45</v>
      </c>
      <c r="Z247" s="2">
        <v>24945.45</v>
      </c>
      <c r="AA247">
        <v>0</v>
      </c>
    </row>
    <row r="248" spans="1:27" x14ac:dyDescent="0.35">
      <c r="A248">
        <v>2423</v>
      </c>
      <c r="B248">
        <v>0</v>
      </c>
      <c r="C248" s="1">
        <v>36279</v>
      </c>
      <c r="D248">
        <v>1</v>
      </c>
      <c r="E248" t="s">
        <v>20</v>
      </c>
      <c r="F248" t="s">
        <v>309</v>
      </c>
      <c r="G248" s="1">
        <v>36279</v>
      </c>
      <c r="H248" s="2">
        <v>80909.09</v>
      </c>
      <c r="I248" s="2">
        <f t="shared" si="3"/>
        <v>-80908.09</v>
      </c>
      <c r="J248">
        <v>1</v>
      </c>
      <c r="K248" t="s">
        <v>23</v>
      </c>
      <c r="L248">
        <v>10700040</v>
      </c>
      <c r="M248" t="s">
        <v>65</v>
      </c>
      <c r="N248">
        <v>33000</v>
      </c>
      <c r="O248" t="s">
        <v>30</v>
      </c>
      <c r="P248" t="s">
        <v>527</v>
      </c>
      <c r="Q248" t="s">
        <v>31</v>
      </c>
      <c r="R248">
        <v>164500</v>
      </c>
      <c r="S248" t="s">
        <v>63</v>
      </c>
      <c r="T248">
        <v>1</v>
      </c>
      <c r="U248">
        <v>0</v>
      </c>
      <c r="V248">
        <v>0</v>
      </c>
      <c r="W248">
        <v>0</v>
      </c>
      <c r="X248">
        <v>0</v>
      </c>
      <c r="Y248" s="2">
        <v>-17226.27</v>
      </c>
      <c r="Z248" s="2">
        <v>17227.27</v>
      </c>
      <c r="AA248">
        <v>0</v>
      </c>
    </row>
    <row r="249" spans="1:27" x14ac:dyDescent="0.35">
      <c r="A249">
        <v>2422</v>
      </c>
      <c r="B249">
        <v>0</v>
      </c>
      <c r="C249" s="1">
        <v>36399</v>
      </c>
      <c r="D249">
        <v>1</v>
      </c>
      <c r="E249" t="s">
        <v>20</v>
      </c>
      <c r="F249" t="s">
        <v>295</v>
      </c>
      <c r="G249" s="1">
        <v>36399</v>
      </c>
      <c r="H249" s="2">
        <v>57968.18</v>
      </c>
      <c r="I249" s="2">
        <f t="shared" si="3"/>
        <v>-57967.18</v>
      </c>
      <c r="J249">
        <v>1</v>
      </c>
      <c r="K249" t="s">
        <v>23</v>
      </c>
      <c r="L249">
        <v>10700040</v>
      </c>
      <c r="M249" t="s">
        <v>65</v>
      </c>
      <c r="N249">
        <v>33000</v>
      </c>
      <c r="O249" t="s">
        <v>30</v>
      </c>
      <c r="P249" t="s">
        <v>527</v>
      </c>
      <c r="Q249" t="s">
        <v>31</v>
      </c>
      <c r="R249">
        <v>164500</v>
      </c>
      <c r="S249" t="s">
        <v>63</v>
      </c>
      <c r="T249">
        <v>1</v>
      </c>
      <c r="U249">
        <v>0</v>
      </c>
      <c r="V249">
        <v>0</v>
      </c>
      <c r="W249">
        <v>0</v>
      </c>
      <c r="X249">
        <v>0</v>
      </c>
      <c r="Y249" s="2">
        <v>-80742.64</v>
      </c>
      <c r="Z249" s="2">
        <v>80743.64</v>
      </c>
      <c r="AA249">
        <v>0</v>
      </c>
    </row>
    <row r="250" spans="1:27" x14ac:dyDescent="0.35">
      <c r="A250">
        <v>2665</v>
      </c>
      <c r="B250">
        <v>0</v>
      </c>
      <c r="C250" s="1">
        <v>36399</v>
      </c>
      <c r="D250">
        <v>1</v>
      </c>
      <c r="E250" t="s">
        <v>20</v>
      </c>
      <c r="F250" t="s">
        <v>313</v>
      </c>
      <c r="G250" s="1">
        <v>36399</v>
      </c>
      <c r="H250" s="2">
        <v>8181.82</v>
      </c>
      <c r="I250" s="2">
        <f t="shared" si="3"/>
        <v>-8180.82</v>
      </c>
      <c r="J250">
        <v>1</v>
      </c>
      <c r="K250" t="s">
        <v>23</v>
      </c>
      <c r="L250">
        <v>10700040</v>
      </c>
      <c r="M250" t="s">
        <v>65</v>
      </c>
      <c r="N250">
        <v>33000</v>
      </c>
      <c r="O250" t="s">
        <v>30</v>
      </c>
      <c r="P250" t="s">
        <v>527</v>
      </c>
      <c r="Q250" t="s">
        <v>31</v>
      </c>
      <c r="R250">
        <v>164500</v>
      </c>
      <c r="S250" t="s">
        <v>63</v>
      </c>
      <c r="T250">
        <v>1</v>
      </c>
      <c r="U250">
        <v>0</v>
      </c>
      <c r="V250">
        <v>0</v>
      </c>
      <c r="W250">
        <v>0</v>
      </c>
      <c r="X250">
        <v>0</v>
      </c>
      <c r="Y250" s="2">
        <v>-40475.360000000001</v>
      </c>
      <c r="Z250" s="2">
        <v>40476.36</v>
      </c>
      <c r="AA250">
        <v>0</v>
      </c>
    </row>
    <row r="251" spans="1:27" x14ac:dyDescent="0.35">
      <c r="A251">
        <v>2664</v>
      </c>
      <c r="B251">
        <v>0</v>
      </c>
      <c r="C251" s="1">
        <v>36402</v>
      </c>
      <c r="D251">
        <v>1</v>
      </c>
      <c r="E251" t="s">
        <v>20</v>
      </c>
      <c r="F251" t="s">
        <v>314</v>
      </c>
      <c r="G251" s="1">
        <v>36402</v>
      </c>
      <c r="H251" s="2">
        <v>7600</v>
      </c>
      <c r="I251" s="2">
        <f t="shared" si="3"/>
        <v>-7599</v>
      </c>
      <c r="J251">
        <v>1</v>
      </c>
      <c r="K251" t="s">
        <v>23</v>
      </c>
      <c r="L251">
        <v>10700040</v>
      </c>
      <c r="M251" t="s">
        <v>65</v>
      </c>
      <c r="N251">
        <v>33000</v>
      </c>
      <c r="O251" t="s">
        <v>30</v>
      </c>
      <c r="P251" t="s">
        <v>527</v>
      </c>
      <c r="Q251" t="s">
        <v>31</v>
      </c>
      <c r="R251">
        <v>164500</v>
      </c>
      <c r="S251" t="s">
        <v>63</v>
      </c>
      <c r="T251">
        <v>1</v>
      </c>
      <c r="U251">
        <v>0</v>
      </c>
      <c r="V251">
        <v>0</v>
      </c>
      <c r="W251">
        <v>0</v>
      </c>
      <c r="X251">
        <v>0</v>
      </c>
      <c r="Y251" s="2">
        <v>-5449</v>
      </c>
      <c r="Z251" s="2">
        <v>5450</v>
      </c>
      <c r="AA251">
        <v>0</v>
      </c>
    </row>
    <row r="252" spans="1:27" x14ac:dyDescent="0.35">
      <c r="A252">
        <v>2421</v>
      </c>
      <c r="B252">
        <v>0</v>
      </c>
      <c r="C252" s="1">
        <v>36525</v>
      </c>
      <c r="F252" t="s">
        <v>315</v>
      </c>
      <c r="G252" s="1">
        <v>36525</v>
      </c>
      <c r="H252" s="2">
        <v>65584</v>
      </c>
      <c r="I252" s="2">
        <f t="shared" si="3"/>
        <v>-65584</v>
      </c>
      <c r="J252">
        <v>0</v>
      </c>
      <c r="K252" t="s">
        <v>23</v>
      </c>
      <c r="L252">
        <v>10700040</v>
      </c>
      <c r="M252" t="s">
        <v>65</v>
      </c>
      <c r="N252">
        <v>33000</v>
      </c>
      <c r="O252" t="s">
        <v>30</v>
      </c>
      <c r="P252" t="s">
        <v>527</v>
      </c>
      <c r="Q252" t="s">
        <v>31</v>
      </c>
      <c r="R252">
        <v>164500</v>
      </c>
      <c r="S252" t="s">
        <v>63</v>
      </c>
      <c r="T252">
        <v>1</v>
      </c>
      <c r="U252">
        <v>0</v>
      </c>
      <c r="V252">
        <v>0</v>
      </c>
      <c r="W252">
        <v>0</v>
      </c>
      <c r="X252">
        <v>0</v>
      </c>
      <c r="Y252" s="2">
        <v>-6071.73</v>
      </c>
      <c r="Z252" s="2">
        <v>6072.73</v>
      </c>
      <c r="AA252">
        <v>0</v>
      </c>
    </row>
    <row r="253" spans="1:27" x14ac:dyDescent="0.35">
      <c r="A253">
        <v>2663</v>
      </c>
      <c r="B253">
        <v>0</v>
      </c>
      <c r="C253" s="1">
        <v>36599</v>
      </c>
      <c r="D253">
        <v>1</v>
      </c>
      <c r="E253" t="s">
        <v>20</v>
      </c>
      <c r="F253" t="s">
        <v>317</v>
      </c>
      <c r="G253" s="1">
        <v>36599</v>
      </c>
      <c r="H253" s="2">
        <v>51636.36</v>
      </c>
      <c r="I253" s="2">
        <f t="shared" si="3"/>
        <v>-51635.360000000001</v>
      </c>
      <c r="J253">
        <v>1</v>
      </c>
      <c r="K253" t="s">
        <v>23</v>
      </c>
      <c r="L253">
        <v>10700040</v>
      </c>
      <c r="M253" t="s">
        <v>65</v>
      </c>
      <c r="N253">
        <v>33000</v>
      </c>
      <c r="O253" t="s">
        <v>30</v>
      </c>
      <c r="P253" t="s">
        <v>527</v>
      </c>
      <c r="Q253" t="s">
        <v>31</v>
      </c>
      <c r="R253">
        <v>164500</v>
      </c>
      <c r="S253" t="s">
        <v>63</v>
      </c>
      <c r="T253">
        <v>1</v>
      </c>
      <c r="U253">
        <v>0</v>
      </c>
      <c r="V253">
        <v>0</v>
      </c>
      <c r="W253">
        <v>0</v>
      </c>
      <c r="X253">
        <v>0</v>
      </c>
      <c r="Y253" s="2">
        <v>-47271.73</v>
      </c>
      <c r="Z253" s="2">
        <v>47272.73</v>
      </c>
      <c r="AA253">
        <v>0</v>
      </c>
    </row>
    <row r="254" spans="1:27" x14ac:dyDescent="0.35">
      <c r="A254">
        <v>2420</v>
      </c>
      <c r="B254">
        <v>0</v>
      </c>
      <c r="C254" s="1">
        <v>36606</v>
      </c>
      <c r="D254">
        <v>1</v>
      </c>
      <c r="E254" t="s">
        <v>20</v>
      </c>
      <c r="F254" t="s">
        <v>318</v>
      </c>
      <c r="G254" s="1">
        <v>36606</v>
      </c>
      <c r="H254" s="2">
        <v>11747.08</v>
      </c>
      <c r="I254" s="2">
        <f t="shared" si="3"/>
        <v>-11746.08</v>
      </c>
      <c r="J254">
        <v>1</v>
      </c>
      <c r="K254" t="s">
        <v>23</v>
      </c>
      <c r="L254">
        <v>10700040</v>
      </c>
      <c r="M254" t="s">
        <v>65</v>
      </c>
      <c r="N254">
        <v>33000</v>
      </c>
      <c r="O254" t="s">
        <v>30</v>
      </c>
      <c r="P254" t="s">
        <v>527</v>
      </c>
      <c r="Q254" t="s">
        <v>22</v>
      </c>
      <c r="R254">
        <v>164500</v>
      </c>
      <c r="S254" t="s">
        <v>63</v>
      </c>
      <c r="T254">
        <v>1</v>
      </c>
      <c r="U254">
        <v>0</v>
      </c>
      <c r="V254">
        <v>0</v>
      </c>
      <c r="W254">
        <v>0</v>
      </c>
      <c r="X254">
        <v>0</v>
      </c>
      <c r="Y254" s="2">
        <v>-9435.36</v>
      </c>
      <c r="Z254" s="2">
        <v>9436.36</v>
      </c>
      <c r="AA254">
        <v>0</v>
      </c>
    </row>
    <row r="255" spans="1:27" x14ac:dyDescent="0.35">
      <c r="A255">
        <v>2417</v>
      </c>
      <c r="B255">
        <v>0</v>
      </c>
      <c r="C255" s="1">
        <v>36790</v>
      </c>
      <c r="D255">
        <v>2</v>
      </c>
      <c r="E255" t="s">
        <v>20</v>
      </c>
      <c r="F255" t="s">
        <v>167</v>
      </c>
      <c r="G255" s="1">
        <v>36790</v>
      </c>
      <c r="H255" s="2">
        <v>17443.18</v>
      </c>
      <c r="I255" s="2">
        <f t="shared" si="3"/>
        <v>-17442.18</v>
      </c>
      <c r="J255">
        <v>1</v>
      </c>
      <c r="K255" t="s">
        <v>23</v>
      </c>
      <c r="L255">
        <v>10700040</v>
      </c>
      <c r="M255" t="s">
        <v>65</v>
      </c>
      <c r="N255">
        <v>33000</v>
      </c>
      <c r="O255" t="s">
        <v>30</v>
      </c>
      <c r="P255" t="s">
        <v>527</v>
      </c>
      <c r="Q255" t="s">
        <v>31</v>
      </c>
      <c r="R255">
        <v>164500</v>
      </c>
      <c r="S255" t="s">
        <v>63</v>
      </c>
      <c r="T255">
        <v>1</v>
      </c>
      <c r="U255">
        <v>0</v>
      </c>
      <c r="V255">
        <v>0</v>
      </c>
      <c r="W255">
        <v>0</v>
      </c>
      <c r="X255">
        <v>0</v>
      </c>
      <c r="Y255" s="2">
        <v>-12026.27</v>
      </c>
      <c r="Z255" s="2">
        <v>12027.27</v>
      </c>
      <c r="AA255">
        <v>0</v>
      </c>
    </row>
    <row r="256" spans="1:27" x14ac:dyDescent="0.35">
      <c r="A256">
        <v>2418</v>
      </c>
      <c r="B256">
        <v>0</v>
      </c>
      <c r="C256" s="1">
        <v>36790</v>
      </c>
      <c r="D256">
        <v>4</v>
      </c>
      <c r="E256" t="s">
        <v>20</v>
      </c>
      <c r="F256" t="s">
        <v>324</v>
      </c>
      <c r="G256" s="1">
        <v>36790</v>
      </c>
      <c r="H256" s="2">
        <v>56811.76</v>
      </c>
      <c r="I256" s="2">
        <f t="shared" si="3"/>
        <v>-56810.76</v>
      </c>
      <c r="J256">
        <v>1</v>
      </c>
      <c r="K256" t="s">
        <v>23</v>
      </c>
      <c r="L256">
        <v>10700040</v>
      </c>
      <c r="M256" t="s">
        <v>65</v>
      </c>
      <c r="N256">
        <v>33000</v>
      </c>
      <c r="O256" t="s">
        <v>30</v>
      </c>
      <c r="P256" t="s">
        <v>527</v>
      </c>
      <c r="Q256" t="s">
        <v>31</v>
      </c>
      <c r="R256">
        <v>164500</v>
      </c>
      <c r="S256" t="s">
        <v>63</v>
      </c>
      <c r="T256">
        <v>1</v>
      </c>
      <c r="U256">
        <v>0</v>
      </c>
      <c r="V256">
        <v>0</v>
      </c>
      <c r="W256">
        <v>0</v>
      </c>
      <c r="X256">
        <v>0</v>
      </c>
      <c r="Y256" s="2">
        <v>-5453.55</v>
      </c>
      <c r="Z256" s="2">
        <v>5454.55</v>
      </c>
      <c r="AA256">
        <v>0</v>
      </c>
    </row>
    <row r="257" spans="1:27" x14ac:dyDescent="0.35">
      <c r="A257">
        <v>2419</v>
      </c>
      <c r="B257">
        <v>0</v>
      </c>
      <c r="C257" s="1">
        <v>36790</v>
      </c>
      <c r="D257">
        <v>1</v>
      </c>
      <c r="E257" t="s">
        <v>20</v>
      </c>
      <c r="F257" t="s">
        <v>325</v>
      </c>
      <c r="G257" s="1">
        <v>36790</v>
      </c>
      <c r="H257" s="2">
        <v>22727.27</v>
      </c>
      <c r="I257" s="2">
        <f t="shared" si="3"/>
        <v>-22726.27</v>
      </c>
      <c r="J257">
        <v>1</v>
      </c>
      <c r="K257" t="s">
        <v>23</v>
      </c>
      <c r="L257">
        <v>10700040</v>
      </c>
      <c r="M257" t="s">
        <v>65</v>
      </c>
      <c r="N257">
        <v>33000</v>
      </c>
      <c r="O257" t="s">
        <v>30</v>
      </c>
      <c r="P257" t="s">
        <v>527</v>
      </c>
      <c r="Q257" t="s">
        <v>31</v>
      </c>
      <c r="R257">
        <v>164500</v>
      </c>
      <c r="S257" t="s">
        <v>63</v>
      </c>
      <c r="T257">
        <v>1</v>
      </c>
      <c r="U257">
        <v>0</v>
      </c>
      <c r="V257">
        <v>0</v>
      </c>
      <c r="W257">
        <v>0</v>
      </c>
      <c r="X257">
        <v>0</v>
      </c>
      <c r="Y257" s="2">
        <v>-7726.27</v>
      </c>
      <c r="Z257" s="2">
        <v>7727.27</v>
      </c>
      <c r="AA257">
        <v>0</v>
      </c>
    </row>
    <row r="258" spans="1:27" x14ac:dyDescent="0.35">
      <c r="A258">
        <v>2416</v>
      </c>
      <c r="B258">
        <v>0</v>
      </c>
      <c r="C258" s="1">
        <v>36797</v>
      </c>
      <c r="D258">
        <v>4</v>
      </c>
      <c r="E258" t="s">
        <v>20</v>
      </c>
      <c r="F258" t="s">
        <v>326</v>
      </c>
      <c r="G258" s="1">
        <v>36797</v>
      </c>
      <c r="H258" s="2">
        <v>43072.73</v>
      </c>
      <c r="I258" s="2">
        <f t="shared" ref="I258:I321" si="4">J258-H258</f>
        <v>-43071.73</v>
      </c>
      <c r="J258">
        <v>1</v>
      </c>
      <c r="K258" t="s">
        <v>23</v>
      </c>
      <c r="L258">
        <v>10700040</v>
      </c>
      <c r="M258" t="s">
        <v>65</v>
      </c>
      <c r="N258">
        <v>33000</v>
      </c>
      <c r="O258" t="s">
        <v>30</v>
      </c>
      <c r="P258" t="s">
        <v>527</v>
      </c>
      <c r="Q258" t="s">
        <v>31</v>
      </c>
      <c r="R258">
        <v>164500</v>
      </c>
      <c r="S258" t="s">
        <v>63</v>
      </c>
      <c r="T258">
        <v>1</v>
      </c>
      <c r="U258">
        <v>0</v>
      </c>
      <c r="V258">
        <v>0</v>
      </c>
      <c r="W258">
        <v>0</v>
      </c>
      <c r="X258">
        <v>0</v>
      </c>
      <c r="Y258" s="2">
        <v>-80908.09</v>
      </c>
      <c r="Z258" s="2">
        <v>80909.09</v>
      </c>
      <c r="AA258">
        <v>0</v>
      </c>
    </row>
    <row r="259" spans="1:27" x14ac:dyDescent="0.35">
      <c r="A259">
        <v>2415</v>
      </c>
      <c r="B259">
        <v>0</v>
      </c>
      <c r="C259" s="1">
        <v>36803</v>
      </c>
      <c r="D259">
        <v>1</v>
      </c>
      <c r="E259" t="s">
        <v>20</v>
      </c>
      <c r="F259" t="s">
        <v>327</v>
      </c>
      <c r="G259" s="1">
        <v>36803</v>
      </c>
      <c r="H259" s="2">
        <v>40909.089999999997</v>
      </c>
      <c r="I259" s="2">
        <f t="shared" si="4"/>
        <v>-40908.089999999997</v>
      </c>
      <c r="J259">
        <v>1</v>
      </c>
      <c r="K259" t="s">
        <v>23</v>
      </c>
      <c r="L259">
        <v>10700040</v>
      </c>
      <c r="M259" t="s">
        <v>65</v>
      </c>
      <c r="N259">
        <v>33000</v>
      </c>
      <c r="O259" t="s">
        <v>30</v>
      </c>
      <c r="P259" t="s">
        <v>527</v>
      </c>
      <c r="Q259" t="s">
        <v>31</v>
      </c>
      <c r="R259">
        <v>164500</v>
      </c>
      <c r="S259" t="s">
        <v>63</v>
      </c>
      <c r="T259">
        <v>1</v>
      </c>
      <c r="U259" s="2">
        <v>-79090.92</v>
      </c>
      <c r="V259">
        <v>0</v>
      </c>
      <c r="W259">
        <v>0</v>
      </c>
      <c r="X259">
        <v>0</v>
      </c>
      <c r="Y259" s="2">
        <v>-105453.55</v>
      </c>
      <c r="Z259" s="2">
        <v>105454.55</v>
      </c>
      <c r="AA259" s="2">
        <v>79090.92</v>
      </c>
    </row>
    <row r="260" spans="1:27" x14ac:dyDescent="0.35">
      <c r="A260">
        <v>2413</v>
      </c>
      <c r="B260">
        <v>0</v>
      </c>
      <c r="C260" s="1">
        <v>36818</v>
      </c>
      <c r="D260">
        <v>2</v>
      </c>
      <c r="E260" t="s">
        <v>20</v>
      </c>
      <c r="F260" t="s">
        <v>329</v>
      </c>
      <c r="G260" s="1">
        <v>36818</v>
      </c>
      <c r="H260" s="2">
        <v>28405.88</v>
      </c>
      <c r="I260" s="2">
        <f t="shared" si="4"/>
        <v>-28404.880000000001</v>
      </c>
      <c r="J260">
        <v>1</v>
      </c>
      <c r="K260" t="s">
        <v>23</v>
      </c>
      <c r="L260">
        <v>10700040</v>
      </c>
      <c r="M260" t="s">
        <v>65</v>
      </c>
      <c r="N260">
        <v>33000</v>
      </c>
      <c r="O260" t="s">
        <v>30</v>
      </c>
      <c r="P260" t="s">
        <v>527</v>
      </c>
      <c r="Q260" t="s">
        <v>31</v>
      </c>
      <c r="R260">
        <v>164500</v>
      </c>
      <c r="S260" t="s">
        <v>63</v>
      </c>
      <c r="T260">
        <v>1</v>
      </c>
      <c r="U260">
        <v>0</v>
      </c>
      <c r="V260">
        <v>0</v>
      </c>
      <c r="W260">
        <v>0</v>
      </c>
      <c r="X260">
        <v>0</v>
      </c>
      <c r="Y260" s="2">
        <v>-57967.18</v>
      </c>
      <c r="Z260" s="2">
        <v>57968.18</v>
      </c>
      <c r="AA260">
        <v>0</v>
      </c>
    </row>
    <row r="261" spans="1:27" x14ac:dyDescent="0.35">
      <c r="A261">
        <v>2414</v>
      </c>
      <c r="B261">
        <v>0</v>
      </c>
      <c r="C261" s="1">
        <v>36818</v>
      </c>
      <c r="D261">
        <v>1</v>
      </c>
      <c r="E261" t="s">
        <v>20</v>
      </c>
      <c r="F261" t="s">
        <v>330</v>
      </c>
      <c r="G261" s="1">
        <v>36818</v>
      </c>
      <c r="H261" s="2">
        <v>45454.55</v>
      </c>
      <c r="I261" s="2">
        <f t="shared" si="4"/>
        <v>-45453.55</v>
      </c>
      <c r="J261">
        <v>1</v>
      </c>
      <c r="K261" t="s">
        <v>23</v>
      </c>
      <c r="L261">
        <v>10700040</v>
      </c>
      <c r="M261" t="s">
        <v>65</v>
      </c>
      <c r="N261">
        <v>33000</v>
      </c>
      <c r="O261" t="s">
        <v>30</v>
      </c>
      <c r="P261" t="s">
        <v>527</v>
      </c>
      <c r="Q261" t="s">
        <v>31</v>
      </c>
      <c r="R261">
        <v>164500</v>
      </c>
      <c r="S261" t="s">
        <v>63</v>
      </c>
      <c r="T261">
        <v>1</v>
      </c>
      <c r="U261">
        <v>0</v>
      </c>
      <c r="V261">
        <v>0</v>
      </c>
      <c r="W261">
        <v>0</v>
      </c>
      <c r="X261">
        <v>0</v>
      </c>
      <c r="Y261" s="2">
        <v>-8180.82</v>
      </c>
      <c r="Z261" s="2">
        <v>8181.82</v>
      </c>
      <c r="AA261">
        <v>0</v>
      </c>
    </row>
    <row r="262" spans="1:27" x14ac:dyDescent="0.35">
      <c r="A262">
        <v>2272</v>
      </c>
      <c r="B262">
        <v>0</v>
      </c>
      <c r="C262" s="1">
        <v>37022</v>
      </c>
      <c r="D262">
        <v>1</v>
      </c>
      <c r="E262" t="s">
        <v>20</v>
      </c>
      <c r="F262" t="s">
        <v>335</v>
      </c>
      <c r="G262" s="1">
        <v>37012</v>
      </c>
      <c r="H262" s="2">
        <v>32812</v>
      </c>
      <c r="I262" s="2">
        <f t="shared" si="4"/>
        <v>-32811</v>
      </c>
      <c r="J262">
        <v>1</v>
      </c>
      <c r="K262" t="s">
        <v>23</v>
      </c>
      <c r="L262">
        <v>10700040</v>
      </c>
      <c r="M262" t="s">
        <v>65</v>
      </c>
      <c r="N262">
        <v>33000</v>
      </c>
      <c r="O262" t="s">
        <v>30</v>
      </c>
      <c r="P262" t="s">
        <v>527</v>
      </c>
      <c r="Q262" t="s">
        <v>31</v>
      </c>
      <c r="R262">
        <v>164500</v>
      </c>
      <c r="S262" t="s">
        <v>63</v>
      </c>
      <c r="T262">
        <v>1</v>
      </c>
      <c r="U262">
        <v>0</v>
      </c>
      <c r="V262">
        <v>0</v>
      </c>
      <c r="W262">
        <v>0</v>
      </c>
      <c r="X262">
        <v>0</v>
      </c>
      <c r="Y262" s="2">
        <v>-7599</v>
      </c>
      <c r="Z262" s="2">
        <v>7600</v>
      </c>
      <c r="AA262">
        <v>0</v>
      </c>
    </row>
    <row r="263" spans="1:27" x14ac:dyDescent="0.35">
      <c r="A263">
        <v>2269</v>
      </c>
      <c r="B263">
        <v>0</v>
      </c>
      <c r="C263" s="1">
        <v>37095</v>
      </c>
      <c r="D263">
        <v>1</v>
      </c>
      <c r="E263" t="s">
        <v>20</v>
      </c>
      <c r="F263" t="s">
        <v>337</v>
      </c>
      <c r="G263" s="1">
        <v>37104</v>
      </c>
      <c r="H263" s="2">
        <v>73636.36</v>
      </c>
      <c r="I263" s="2">
        <f t="shared" si="4"/>
        <v>-73635.360000000001</v>
      </c>
      <c r="J263">
        <v>1</v>
      </c>
      <c r="K263" t="s">
        <v>23</v>
      </c>
      <c r="L263">
        <v>10700040</v>
      </c>
      <c r="M263" t="s">
        <v>65</v>
      </c>
      <c r="N263">
        <v>33000</v>
      </c>
      <c r="O263" t="s">
        <v>30</v>
      </c>
      <c r="P263" t="s">
        <v>527</v>
      </c>
      <c r="Q263" t="s">
        <v>31</v>
      </c>
      <c r="R263">
        <v>164500</v>
      </c>
      <c r="S263" t="s">
        <v>63</v>
      </c>
      <c r="T263">
        <v>0</v>
      </c>
      <c r="U263">
        <v>0</v>
      </c>
      <c r="V263">
        <v>0</v>
      </c>
      <c r="W263">
        <v>0</v>
      </c>
      <c r="X263">
        <v>0</v>
      </c>
      <c r="Y263" s="2">
        <v>-65584</v>
      </c>
      <c r="Z263" s="2">
        <v>65584</v>
      </c>
      <c r="AA263">
        <v>0</v>
      </c>
    </row>
    <row r="264" spans="1:27" x14ac:dyDescent="0.35">
      <c r="A264">
        <v>2264</v>
      </c>
      <c r="B264">
        <v>0</v>
      </c>
      <c r="C264" s="1">
        <v>37190</v>
      </c>
      <c r="D264">
        <v>1</v>
      </c>
      <c r="E264" t="s">
        <v>20</v>
      </c>
      <c r="F264" t="s">
        <v>339</v>
      </c>
      <c r="G264" s="1">
        <v>37196</v>
      </c>
      <c r="H264" s="2">
        <v>14545.45</v>
      </c>
      <c r="I264" s="2">
        <f t="shared" si="4"/>
        <v>-14544.45</v>
      </c>
      <c r="J264">
        <v>1</v>
      </c>
      <c r="K264" t="s">
        <v>23</v>
      </c>
      <c r="L264">
        <v>10700040</v>
      </c>
      <c r="M264" t="s">
        <v>65</v>
      </c>
      <c r="N264">
        <v>33000</v>
      </c>
      <c r="O264" t="s">
        <v>30</v>
      </c>
      <c r="P264" t="s">
        <v>527</v>
      </c>
      <c r="Q264" t="s">
        <v>31</v>
      </c>
      <c r="R264">
        <v>164500</v>
      </c>
      <c r="S264" t="s">
        <v>63</v>
      </c>
      <c r="T264">
        <v>1</v>
      </c>
      <c r="U264">
        <v>0</v>
      </c>
      <c r="V264">
        <v>0</v>
      </c>
      <c r="W264">
        <v>0</v>
      </c>
      <c r="X264">
        <v>0</v>
      </c>
      <c r="Y264" s="2">
        <v>-7726.27</v>
      </c>
      <c r="Z264" s="2">
        <v>7727.27</v>
      </c>
      <c r="AA264">
        <v>0</v>
      </c>
    </row>
    <row r="265" spans="1:27" x14ac:dyDescent="0.35">
      <c r="A265">
        <v>2287</v>
      </c>
      <c r="B265">
        <v>0</v>
      </c>
      <c r="C265" s="1">
        <v>37287</v>
      </c>
      <c r="D265">
        <v>1</v>
      </c>
      <c r="E265" t="s">
        <v>20</v>
      </c>
      <c r="F265" t="s">
        <v>340</v>
      </c>
      <c r="G265" s="1">
        <v>37288</v>
      </c>
      <c r="H265" s="2">
        <v>15627.27</v>
      </c>
      <c r="I265" s="2">
        <f t="shared" si="4"/>
        <v>-15626.27</v>
      </c>
      <c r="J265">
        <v>1</v>
      </c>
      <c r="K265" t="s">
        <v>23</v>
      </c>
      <c r="L265">
        <v>10700040</v>
      </c>
      <c r="M265" t="s">
        <v>65</v>
      </c>
      <c r="N265">
        <v>33000</v>
      </c>
      <c r="O265" t="s">
        <v>30</v>
      </c>
      <c r="P265" t="s">
        <v>527</v>
      </c>
      <c r="Q265" t="s">
        <v>31</v>
      </c>
      <c r="R265">
        <v>164500</v>
      </c>
      <c r="S265" t="s">
        <v>63</v>
      </c>
      <c r="T265">
        <v>1</v>
      </c>
      <c r="U265">
        <v>0</v>
      </c>
      <c r="V265">
        <v>0</v>
      </c>
      <c r="W265">
        <v>0</v>
      </c>
      <c r="X265">
        <v>0</v>
      </c>
      <c r="Y265" s="2">
        <v>-15453.55</v>
      </c>
      <c r="Z265" s="2">
        <v>15454.55</v>
      </c>
      <c r="AA265">
        <v>0</v>
      </c>
    </row>
    <row r="266" spans="1:27" x14ac:dyDescent="0.35">
      <c r="A266">
        <v>2286</v>
      </c>
      <c r="B266">
        <v>0</v>
      </c>
      <c r="C266" s="1">
        <v>37314</v>
      </c>
      <c r="D266">
        <v>1</v>
      </c>
      <c r="E266" t="s">
        <v>20</v>
      </c>
      <c r="F266" t="s">
        <v>341</v>
      </c>
      <c r="G266" s="1">
        <v>37316</v>
      </c>
      <c r="H266" s="2">
        <v>8181.82</v>
      </c>
      <c r="I266" s="2">
        <f t="shared" si="4"/>
        <v>-8180.82</v>
      </c>
      <c r="J266">
        <v>1</v>
      </c>
      <c r="K266" t="s">
        <v>23</v>
      </c>
      <c r="L266">
        <v>10700040</v>
      </c>
      <c r="M266" t="s">
        <v>65</v>
      </c>
      <c r="N266">
        <v>33000</v>
      </c>
      <c r="O266" t="s">
        <v>30</v>
      </c>
      <c r="P266" t="s">
        <v>527</v>
      </c>
      <c r="Q266" t="s">
        <v>31</v>
      </c>
      <c r="R266">
        <v>164500</v>
      </c>
      <c r="S266" t="s">
        <v>63</v>
      </c>
      <c r="T266">
        <v>1</v>
      </c>
      <c r="U266">
        <v>0</v>
      </c>
      <c r="V266">
        <v>0</v>
      </c>
      <c r="W266">
        <v>0</v>
      </c>
      <c r="X266">
        <v>0</v>
      </c>
      <c r="Y266" s="2">
        <v>-51635.360000000001</v>
      </c>
      <c r="Z266" s="2">
        <v>51636.36</v>
      </c>
      <c r="AA266">
        <v>0</v>
      </c>
    </row>
    <row r="267" spans="1:27" x14ac:dyDescent="0.35">
      <c r="A267">
        <v>2284</v>
      </c>
      <c r="B267">
        <v>0</v>
      </c>
      <c r="C267" s="1">
        <v>37321</v>
      </c>
      <c r="D267">
        <v>1</v>
      </c>
      <c r="E267" t="s">
        <v>20</v>
      </c>
      <c r="F267" t="s">
        <v>342</v>
      </c>
      <c r="G267" s="1">
        <v>37316</v>
      </c>
      <c r="H267" s="2">
        <v>61027.27</v>
      </c>
      <c r="I267" s="2">
        <f t="shared" si="4"/>
        <v>-61026.27</v>
      </c>
      <c r="J267">
        <v>1</v>
      </c>
      <c r="K267" t="s">
        <v>23</v>
      </c>
      <c r="L267">
        <v>10700040</v>
      </c>
      <c r="M267" t="s">
        <v>65</v>
      </c>
      <c r="N267">
        <v>33000</v>
      </c>
      <c r="O267" t="s">
        <v>30</v>
      </c>
      <c r="P267" t="s">
        <v>527</v>
      </c>
      <c r="Q267" t="s">
        <v>31</v>
      </c>
      <c r="R267">
        <v>164500</v>
      </c>
      <c r="S267" t="s">
        <v>63</v>
      </c>
      <c r="T267">
        <v>1</v>
      </c>
      <c r="U267">
        <v>0</v>
      </c>
      <c r="V267">
        <v>0</v>
      </c>
      <c r="W267">
        <v>0</v>
      </c>
      <c r="X267">
        <v>0</v>
      </c>
      <c r="Y267" s="2">
        <v>-11746.08</v>
      </c>
      <c r="Z267" s="2">
        <v>11747.08</v>
      </c>
      <c r="AA267">
        <v>0</v>
      </c>
    </row>
    <row r="268" spans="1:27" x14ac:dyDescent="0.35">
      <c r="A268">
        <v>2285</v>
      </c>
      <c r="B268">
        <v>0</v>
      </c>
      <c r="C268" s="1">
        <v>37321</v>
      </c>
      <c r="D268">
        <v>1</v>
      </c>
      <c r="E268" t="s">
        <v>20</v>
      </c>
      <c r="F268" t="s">
        <v>343</v>
      </c>
      <c r="G268" s="1">
        <v>37316</v>
      </c>
      <c r="H268" s="2">
        <v>21157.27</v>
      </c>
      <c r="I268" s="2">
        <f t="shared" si="4"/>
        <v>-21156.27</v>
      </c>
      <c r="J268">
        <v>1</v>
      </c>
      <c r="K268" t="s">
        <v>23</v>
      </c>
      <c r="L268">
        <v>10700040</v>
      </c>
      <c r="M268" t="s">
        <v>65</v>
      </c>
      <c r="N268">
        <v>33000</v>
      </c>
      <c r="O268" t="s">
        <v>30</v>
      </c>
      <c r="P268" t="s">
        <v>527</v>
      </c>
      <c r="Q268" t="s">
        <v>31</v>
      </c>
      <c r="R268">
        <v>164500</v>
      </c>
      <c r="S268" t="s">
        <v>63</v>
      </c>
      <c r="T268">
        <v>0</v>
      </c>
      <c r="U268">
        <v>0</v>
      </c>
      <c r="V268">
        <v>0</v>
      </c>
      <c r="W268">
        <v>0</v>
      </c>
      <c r="X268">
        <v>0</v>
      </c>
      <c r="Y268" s="2">
        <v>-22197.56</v>
      </c>
      <c r="Z268" s="2">
        <v>22197.56</v>
      </c>
      <c r="AA268">
        <v>0</v>
      </c>
    </row>
    <row r="269" spans="1:27" x14ac:dyDescent="0.35">
      <c r="A269">
        <v>2282</v>
      </c>
      <c r="B269">
        <v>0</v>
      </c>
      <c r="C269" s="1">
        <v>37369</v>
      </c>
      <c r="D269">
        <v>2</v>
      </c>
      <c r="E269" t="s">
        <v>20</v>
      </c>
      <c r="F269" t="s">
        <v>344</v>
      </c>
      <c r="G269" s="1">
        <v>37377</v>
      </c>
      <c r="H269" s="2">
        <v>170940</v>
      </c>
      <c r="I269" s="2">
        <f t="shared" si="4"/>
        <v>-170939</v>
      </c>
      <c r="J269">
        <v>1</v>
      </c>
      <c r="K269" t="s">
        <v>23</v>
      </c>
      <c r="L269">
        <v>10700040</v>
      </c>
      <c r="M269" t="s">
        <v>65</v>
      </c>
      <c r="N269">
        <v>33000</v>
      </c>
      <c r="O269" t="s">
        <v>30</v>
      </c>
      <c r="P269" t="s">
        <v>527</v>
      </c>
      <c r="Q269" t="s">
        <v>31</v>
      </c>
      <c r="R269">
        <v>164500</v>
      </c>
      <c r="S269" t="s">
        <v>63</v>
      </c>
      <c r="T269">
        <v>0</v>
      </c>
      <c r="U269">
        <v>0</v>
      </c>
      <c r="V269">
        <v>0</v>
      </c>
      <c r="W269">
        <v>0</v>
      </c>
      <c r="X269">
        <v>0</v>
      </c>
      <c r="Y269" s="2">
        <v>-22197.56</v>
      </c>
      <c r="Z269" s="2">
        <v>22197.56</v>
      </c>
      <c r="AA269">
        <v>0</v>
      </c>
    </row>
    <row r="270" spans="1:27" x14ac:dyDescent="0.35">
      <c r="A270">
        <v>2279</v>
      </c>
      <c r="B270">
        <v>0</v>
      </c>
      <c r="C270" s="1">
        <v>37537</v>
      </c>
      <c r="D270">
        <v>2</v>
      </c>
      <c r="E270" t="s">
        <v>20</v>
      </c>
      <c r="F270" t="s">
        <v>346</v>
      </c>
      <c r="G270" s="1">
        <v>37530</v>
      </c>
      <c r="H270" s="2">
        <v>263636.36</v>
      </c>
      <c r="I270" s="2">
        <f t="shared" si="4"/>
        <v>-263635.36</v>
      </c>
      <c r="J270">
        <v>1</v>
      </c>
      <c r="K270" t="s">
        <v>23</v>
      </c>
      <c r="L270">
        <v>10700040</v>
      </c>
      <c r="M270" t="s">
        <v>65</v>
      </c>
      <c r="N270">
        <v>33000</v>
      </c>
      <c r="O270" t="s">
        <v>30</v>
      </c>
      <c r="P270" t="s">
        <v>527</v>
      </c>
      <c r="Q270" t="s">
        <v>31</v>
      </c>
      <c r="R270">
        <v>164500</v>
      </c>
      <c r="S270" t="s">
        <v>63</v>
      </c>
      <c r="T270">
        <v>1</v>
      </c>
      <c r="U270">
        <v>0</v>
      </c>
      <c r="V270">
        <v>0</v>
      </c>
      <c r="W270">
        <v>0</v>
      </c>
      <c r="X270">
        <v>0</v>
      </c>
      <c r="Y270" s="2">
        <v>-10109.52</v>
      </c>
      <c r="Z270" s="2">
        <v>10110.52</v>
      </c>
      <c r="AA270">
        <v>0</v>
      </c>
    </row>
    <row r="271" spans="1:27" x14ac:dyDescent="0.35">
      <c r="A271">
        <v>2294</v>
      </c>
      <c r="B271">
        <v>0</v>
      </c>
      <c r="C271" s="1">
        <v>37894</v>
      </c>
      <c r="D271">
        <v>1</v>
      </c>
      <c r="E271" t="s">
        <v>20</v>
      </c>
      <c r="F271" t="s">
        <v>352</v>
      </c>
      <c r="G271" s="1">
        <v>37895</v>
      </c>
      <c r="H271" s="2">
        <v>7609.09</v>
      </c>
      <c r="I271" s="2">
        <f t="shared" si="4"/>
        <v>-7608.09</v>
      </c>
      <c r="J271">
        <v>1</v>
      </c>
      <c r="K271" t="s">
        <v>23</v>
      </c>
      <c r="L271">
        <v>10700040</v>
      </c>
      <c r="M271" t="s">
        <v>65</v>
      </c>
      <c r="N271">
        <v>33000</v>
      </c>
      <c r="O271" t="s">
        <v>30</v>
      </c>
      <c r="P271" t="s">
        <v>527</v>
      </c>
      <c r="Q271" t="s">
        <v>31</v>
      </c>
      <c r="R271">
        <v>164500</v>
      </c>
      <c r="S271" t="s">
        <v>63</v>
      </c>
      <c r="T271">
        <v>1</v>
      </c>
      <c r="U271">
        <v>0</v>
      </c>
      <c r="V271">
        <v>0</v>
      </c>
      <c r="W271">
        <v>0</v>
      </c>
      <c r="X271">
        <v>0</v>
      </c>
      <c r="Y271" s="2">
        <v>-34472.6</v>
      </c>
      <c r="Z271" s="2">
        <v>34473.599999999999</v>
      </c>
      <c r="AA271">
        <v>0</v>
      </c>
    </row>
    <row r="272" spans="1:27" x14ac:dyDescent="0.35">
      <c r="A272">
        <v>2292</v>
      </c>
      <c r="B272">
        <v>0</v>
      </c>
      <c r="C272" s="1">
        <v>37916</v>
      </c>
      <c r="D272">
        <v>3</v>
      </c>
      <c r="E272" t="s">
        <v>20</v>
      </c>
      <c r="F272" t="s">
        <v>315</v>
      </c>
      <c r="G272" s="1">
        <v>37926</v>
      </c>
      <c r="H272" s="2">
        <v>169740</v>
      </c>
      <c r="I272" s="2">
        <f t="shared" si="4"/>
        <v>-169739</v>
      </c>
      <c r="J272">
        <v>1</v>
      </c>
      <c r="K272" t="s">
        <v>23</v>
      </c>
      <c r="L272">
        <v>10700040</v>
      </c>
      <c r="M272" t="s">
        <v>65</v>
      </c>
      <c r="N272">
        <v>33000</v>
      </c>
      <c r="O272" t="s">
        <v>30</v>
      </c>
      <c r="P272" t="s">
        <v>527</v>
      </c>
      <c r="Q272" t="s">
        <v>31</v>
      </c>
      <c r="R272">
        <v>164500</v>
      </c>
      <c r="S272" t="s">
        <v>63</v>
      </c>
      <c r="T272">
        <v>1</v>
      </c>
      <c r="U272">
        <v>0</v>
      </c>
      <c r="V272">
        <v>0</v>
      </c>
      <c r="W272">
        <v>0</v>
      </c>
      <c r="X272">
        <v>0</v>
      </c>
      <c r="Y272" s="2">
        <v>-52885.36</v>
      </c>
      <c r="Z272" s="2">
        <v>52886.36</v>
      </c>
      <c r="AA272">
        <v>0</v>
      </c>
    </row>
    <row r="273" spans="1:27" x14ac:dyDescent="0.35">
      <c r="A273">
        <v>2325</v>
      </c>
      <c r="B273">
        <v>0</v>
      </c>
      <c r="C273" s="1">
        <v>38065</v>
      </c>
      <c r="D273">
        <v>5</v>
      </c>
      <c r="E273" t="s">
        <v>20</v>
      </c>
      <c r="F273" t="s">
        <v>354</v>
      </c>
      <c r="G273" s="1">
        <v>38078</v>
      </c>
      <c r="H273" s="2">
        <v>59090.91</v>
      </c>
      <c r="I273" s="2">
        <f t="shared" si="4"/>
        <v>-59089.91</v>
      </c>
      <c r="J273">
        <v>1</v>
      </c>
      <c r="K273" t="s">
        <v>23</v>
      </c>
      <c r="L273">
        <v>10700040</v>
      </c>
      <c r="M273" t="s">
        <v>65</v>
      </c>
      <c r="N273">
        <v>33000</v>
      </c>
      <c r="O273" t="s">
        <v>30</v>
      </c>
      <c r="P273" t="s">
        <v>527</v>
      </c>
      <c r="Q273" t="s">
        <v>31</v>
      </c>
      <c r="R273">
        <v>164500</v>
      </c>
      <c r="S273" t="s">
        <v>63</v>
      </c>
      <c r="T273">
        <v>1</v>
      </c>
      <c r="U273">
        <v>0</v>
      </c>
      <c r="V273">
        <v>0</v>
      </c>
      <c r="W273">
        <v>0</v>
      </c>
      <c r="X273">
        <v>0</v>
      </c>
      <c r="Y273" s="2">
        <v>-8280.64</v>
      </c>
      <c r="Z273" s="2">
        <v>8281.64</v>
      </c>
      <c r="AA273">
        <v>0</v>
      </c>
    </row>
    <row r="274" spans="1:27" x14ac:dyDescent="0.35">
      <c r="A274">
        <v>2323</v>
      </c>
      <c r="B274">
        <v>0</v>
      </c>
      <c r="C274" s="1">
        <v>38076</v>
      </c>
      <c r="D274">
        <v>2</v>
      </c>
      <c r="E274" t="s">
        <v>20</v>
      </c>
      <c r="F274" t="s">
        <v>355</v>
      </c>
      <c r="G274" s="1">
        <v>38078</v>
      </c>
      <c r="H274" s="2">
        <v>20000</v>
      </c>
      <c r="I274" s="2">
        <f t="shared" si="4"/>
        <v>-19999</v>
      </c>
      <c r="J274">
        <v>1</v>
      </c>
      <c r="K274" t="s">
        <v>23</v>
      </c>
      <c r="L274">
        <v>10700040</v>
      </c>
      <c r="M274" t="s">
        <v>65</v>
      </c>
      <c r="N274">
        <v>33000</v>
      </c>
      <c r="O274" t="s">
        <v>30</v>
      </c>
      <c r="P274" t="s">
        <v>527</v>
      </c>
      <c r="Q274" t="s">
        <v>31</v>
      </c>
      <c r="R274">
        <v>164500</v>
      </c>
      <c r="S274" t="s">
        <v>63</v>
      </c>
      <c r="T274">
        <v>1</v>
      </c>
      <c r="U274">
        <v>0</v>
      </c>
      <c r="V274">
        <v>0</v>
      </c>
      <c r="W274">
        <v>0</v>
      </c>
      <c r="X274">
        <v>0</v>
      </c>
      <c r="Y274" s="2">
        <v>-17442.18</v>
      </c>
      <c r="Z274" s="2">
        <v>17443.18</v>
      </c>
      <c r="AA274">
        <v>0</v>
      </c>
    </row>
    <row r="275" spans="1:27" x14ac:dyDescent="0.35">
      <c r="A275">
        <v>2327</v>
      </c>
      <c r="B275">
        <v>0</v>
      </c>
      <c r="C275" s="1">
        <v>38077</v>
      </c>
      <c r="D275">
        <v>1</v>
      </c>
      <c r="E275" t="s">
        <v>20</v>
      </c>
      <c r="F275" t="s">
        <v>356</v>
      </c>
      <c r="G275" s="1">
        <v>38078</v>
      </c>
      <c r="H275" s="2">
        <v>20250</v>
      </c>
      <c r="I275" s="2">
        <f t="shared" si="4"/>
        <v>-20249</v>
      </c>
      <c r="J275">
        <v>1</v>
      </c>
      <c r="K275" t="s">
        <v>23</v>
      </c>
      <c r="L275">
        <v>10700040</v>
      </c>
      <c r="M275" t="s">
        <v>65</v>
      </c>
      <c r="N275">
        <v>33000</v>
      </c>
      <c r="O275" t="s">
        <v>30</v>
      </c>
      <c r="P275" t="s">
        <v>527</v>
      </c>
      <c r="Q275" t="s">
        <v>31</v>
      </c>
      <c r="R275">
        <v>164500</v>
      </c>
      <c r="S275" t="s">
        <v>63</v>
      </c>
      <c r="T275">
        <v>1</v>
      </c>
      <c r="U275">
        <v>0</v>
      </c>
      <c r="V275">
        <v>0</v>
      </c>
      <c r="W275">
        <v>0</v>
      </c>
      <c r="X275">
        <v>0</v>
      </c>
      <c r="Y275" s="2">
        <v>-56810.76</v>
      </c>
      <c r="Z275" s="2">
        <v>56811.76</v>
      </c>
      <c r="AA275">
        <v>0</v>
      </c>
    </row>
    <row r="276" spans="1:27" x14ac:dyDescent="0.35">
      <c r="A276">
        <v>2321</v>
      </c>
      <c r="B276">
        <v>0</v>
      </c>
      <c r="C276" s="1">
        <v>38083</v>
      </c>
      <c r="D276">
        <v>3</v>
      </c>
      <c r="E276" t="s">
        <v>20</v>
      </c>
      <c r="F276" t="s">
        <v>357</v>
      </c>
      <c r="G276" s="1">
        <v>38078</v>
      </c>
      <c r="H276" s="2">
        <v>63477.27</v>
      </c>
      <c r="I276" s="2">
        <f t="shared" si="4"/>
        <v>-63476.27</v>
      </c>
      <c r="J276">
        <v>1</v>
      </c>
      <c r="K276" t="s">
        <v>23</v>
      </c>
      <c r="L276">
        <v>10700040</v>
      </c>
      <c r="M276" t="s">
        <v>65</v>
      </c>
      <c r="N276">
        <v>33000</v>
      </c>
      <c r="O276" t="s">
        <v>30</v>
      </c>
      <c r="P276" t="s">
        <v>527</v>
      </c>
      <c r="Q276" t="s">
        <v>31</v>
      </c>
      <c r="R276">
        <v>164500</v>
      </c>
      <c r="S276" t="s">
        <v>63</v>
      </c>
      <c r="T276">
        <v>1</v>
      </c>
      <c r="U276">
        <v>0</v>
      </c>
      <c r="V276">
        <v>0</v>
      </c>
      <c r="W276">
        <v>0</v>
      </c>
      <c r="X276">
        <v>0</v>
      </c>
      <c r="Y276" s="2">
        <v>-22726.27</v>
      </c>
      <c r="Z276" s="2">
        <v>22727.27</v>
      </c>
      <c r="AA276">
        <v>0</v>
      </c>
    </row>
    <row r="277" spans="1:27" x14ac:dyDescent="0.35">
      <c r="A277">
        <v>2326</v>
      </c>
      <c r="B277">
        <v>0</v>
      </c>
      <c r="C277" s="1">
        <v>38090</v>
      </c>
      <c r="D277">
        <v>2</v>
      </c>
      <c r="E277" t="s">
        <v>20</v>
      </c>
      <c r="F277" t="s">
        <v>358</v>
      </c>
      <c r="G277" s="1">
        <v>38078</v>
      </c>
      <c r="H277" s="2">
        <v>12512.73</v>
      </c>
      <c r="I277" s="2">
        <f t="shared" si="4"/>
        <v>-12511.73</v>
      </c>
      <c r="J277">
        <v>1</v>
      </c>
      <c r="K277" t="s">
        <v>23</v>
      </c>
      <c r="L277">
        <v>10700040</v>
      </c>
      <c r="M277" t="s">
        <v>65</v>
      </c>
      <c r="N277">
        <v>33000</v>
      </c>
      <c r="O277" t="s">
        <v>30</v>
      </c>
      <c r="P277" t="s">
        <v>527</v>
      </c>
      <c r="Q277" t="s">
        <v>31</v>
      </c>
      <c r="R277">
        <v>164500</v>
      </c>
      <c r="S277" t="s">
        <v>63</v>
      </c>
      <c r="T277">
        <v>1</v>
      </c>
      <c r="U277">
        <v>0</v>
      </c>
      <c r="V277">
        <v>0</v>
      </c>
      <c r="W277">
        <v>0</v>
      </c>
      <c r="X277">
        <v>0</v>
      </c>
      <c r="Y277" s="2">
        <v>-43071.73</v>
      </c>
      <c r="Z277" s="2">
        <v>43072.73</v>
      </c>
      <c r="AA277">
        <v>0</v>
      </c>
    </row>
    <row r="278" spans="1:27" x14ac:dyDescent="0.35">
      <c r="A278">
        <v>2314</v>
      </c>
      <c r="B278">
        <v>0</v>
      </c>
      <c r="C278" s="1">
        <v>38139</v>
      </c>
      <c r="D278">
        <v>1</v>
      </c>
      <c r="E278" t="s">
        <v>20</v>
      </c>
      <c r="F278" t="s">
        <v>362</v>
      </c>
      <c r="G278" s="1">
        <v>38139</v>
      </c>
      <c r="H278" s="2">
        <v>31818.18</v>
      </c>
      <c r="I278" s="2">
        <f t="shared" si="4"/>
        <v>-31817.18</v>
      </c>
      <c r="J278">
        <v>1</v>
      </c>
      <c r="K278" t="s">
        <v>23</v>
      </c>
      <c r="L278">
        <v>10700040</v>
      </c>
      <c r="M278" t="s">
        <v>65</v>
      </c>
      <c r="N278">
        <v>33000</v>
      </c>
      <c r="O278" t="s">
        <v>30</v>
      </c>
      <c r="P278" t="s">
        <v>527</v>
      </c>
      <c r="Q278" t="s">
        <v>31</v>
      </c>
      <c r="R278">
        <v>164500</v>
      </c>
      <c r="S278" t="s">
        <v>63</v>
      </c>
      <c r="T278">
        <v>1</v>
      </c>
      <c r="U278">
        <v>0</v>
      </c>
      <c r="V278">
        <v>0</v>
      </c>
      <c r="W278">
        <v>0</v>
      </c>
      <c r="X278">
        <v>0</v>
      </c>
      <c r="Y278" s="2">
        <v>-40908.089999999997</v>
      </c>
      <c r="Z278" s="2">
        <v>40909.089999999997</v>
      </c>
      <c r="AA278">
        <v>0</v>
      </c>
    </row>
    <row r="279" spans="1:27" x14ac:dyDescent="0.35">
      <c r="A279">
        <v>2315</v>
      </c>
      <c r="B279">
        <v>0</v>
      </c>
      <c r="C279" s="1">
        <v>38152</v>
      </c>
      <c r="D279">
        <v>1</v>
      </c>
      <c r="E279" t="s">
        <v>20</v>
      </c>
      <c r="F279" t="s">
        <v>363</v>
      </c>
      <c r="G279" s="1">
        <v>38139</v>
      </c>
      <c r="H279" s="2">
        <v>870845.11</v>
      </c>
      <c r="I279" s="2">
        <f t="shared" si="4"/>
        <v>-870845.11</v>
      </c>
      <c r="J279">
        <v>0</v>
      </c>
      <c r="K279" t="s">
        <v>23</v>
      </c>
      <c r="L279">
        <v>10700040</v>
      </c>
      <c r="M279" t="s">
        <v>65</v>
      </c>
      <c r="N279">
        <v>33000</v>
      </c>
      <c r="O279" t="s">
        <v>30</v>
      </c>
      <c r="P279" t="s">
        <v>527</v>
      </c>
      <c r="Q279" t="s">
        <v>31</v>
      </c>
      <c r="R279">
        <v>164500</v>
      </c>
      <c r="S279" t="s">
        <v>63</v>
      </c>
      <c r="T279">
        <v>1</v>
      </c>
      <c r="U279">
        <v>0</v>
      </c>
      <c r="V279">
        <v>0</v>
      </c>
      <c r="W279">
        <v>0</v>
      </c>
      <c r="X279">
        <v>0</v>
      </c>
      <c r="Y279" s="2">
        <v>-7862.64</v>
      </c>
      <c r="Z279" s="2">
        <v>7863.64</v>
      </c>
      <c r="AA279">
        <v>0</v>
      </c>
    </row>
    <row r="280" spans="1:27" x14ac:dyDescent="0.35">
      <c r="A280">
        <v>2306</v>
      </c>
      <c r="B280">
        <v>0</v>
      </c>
      <c r="C280" s="1">
        <v>38287</v>
      </c>
      <c r="D280">
        <v>4</v>
      </c>
      <c r="E280" t="s">
        <v>20</v>
      </c>
      <c r="F280" t="s">
        <v>365</v>
      </c>
      <c r="G280" s="1">
        <v>38292</v>
      </c>
      <c r="H280" s="2">
        <v>43378.18</v>
      </c>
      <c r="I280" s="2">
        <f t="shared" si="4"/>
        <v>-43377.18</v>
      </c>
      <c r="J280">
        <v>1</v>
      </c>
      <c r="K280" t="s">
        <v>23</v>
      </c>
      <c r="L280">
        <v>10700040</v>
      </c>
      <c r="M280" t="s">
        <v>65</v>
      </c>
      <c r="N280">
        <v>33000</v>
      </c>
      <c r="O280" t="s">
        <v>30</v>
      </c>
      <c r="P280" t="s">
        <v>527</v>
      </c>
      <c r="Q280" t="s">
        <v>31</v>
      </c>
      <c r="R280">
        <v>164500</v>
      </c>
      <c r="S280" t="s">
        <v>63</v>
      </c>
      <c r="T280">
        <v>1</v>
      </c>
      <c r="U280">
        <v>0</v>
      </c>
      <c r="V280">
        <v>0</v>
      </c>
      <c r="W280">
        <v>0</v>
      </c>
      <c r="X280">
        <v>0</v>
      </c>
      <c r="Y280" s="2">
        <v>-28404.880000000001</v>
      </c>
      <c r="Z280" s="2">
        <v>28405.88</v>
      </c>
      <c r="AA280">
        <v>0</v>
      </c>
    </row>
    <row r="281" spans="1:27" x14ac:dyDescent="0.35">
      <c r="A281">
        <v>2333</v>
      </c>
      <c r="B281">
        <v>0</v>
      </c>
      <c r="C281" s="1">
        <v>38364</v>
      </c>
      <c r="D281">
        <v>1</v>
      </c>
      <c r="E281" t="s">
        <v>20</v>
      </c>
      <c r="F281" t="s">
        <v>366</v>
      </c>
      <c r="G281" s="1">
        <v>38353</v>
      </c>
      <c r="H281" s="2">
        <v>48225.45</v>
      </c>
      <c r="I281" s="2">
        <f t="shared" si="4"/>
        <v>-48224.45</v>
      </c>
      <c r="J281">
        <v>1</v>
      </c>
      <c r="K281" t="s">
        <v>23</v>
      </c>
      <c r="L281">
        <v>10700040</v>
      </c>
      <c r="M281" t="s">
        <v>65</v>
      </c>
      <c r="N281">
        <v>33000</v>
      </c>
      <c r="O281" t="s">
        <v>30</v>
      </c>
      <c r="P281" t="s">
        <v>527</v>
      </c>
      <c r="Q281" t="s">
        <v>31</v>
      </c>
      <c r="R281">
        <v>164500</v>
      </c>
      <c r="S281" t="s">
        <v>63</v>
      </c>
      <c r="T281">
        <v>1</v>
      </c>
      <c r="U281">
        <v>0</v>
      </c>
      <c r="V281">
        <v>0</v>
      </c>
      <c r="W281">
        <v>0</v>
      </c>
      <c r="X281">
        <v>0</v>
      </c>
      <c r="Y281" s="2">
        <v>-45453.55</v>
      </c>
      <c r="Z281" s="2">
        <v>45454.55</v>
      </c>
      <c r="AA281">
        <v>0</v>
      </c>
    </row>
    <row r="282" spans="1:27" x14ac:dyDescent="0.35">
      <c r="A282">
        <v>2332</v>
      </c>
      <c r="B282">
        <v>0</v>
      </c>
      <c r="C282" s="1">
        <v>38456</v>
      </c>
      <c r="D282">
        <v>1</v>
      </c>
      <c r="E282" t="s">
        <v>20</v>
      </c>
      <c r="F282" t="s">
        <v>367</v>
      </c>
      <c r="G282" s="1">
        <v>38443</v>
      </c>
      <c r="H282" s="2">
        <v>38636.36</v>
      </c>
      <c r="I282" s="2">
        <f t="shared" si="4"/>
        <v>-38635.360000000001</v>
      </c>
      <c r="J282">
        <v>1</v>
      </c>
      <c r="K282" t="s">
        <v>23</v>
      </c>
      <c r="L282">
        <v>10700040</v>
      </c>
      <c r="M282" t="s">
        <v>65</v>
      </c>
      <c r="N282">
        <v>33000</v>
      </c>
      <c r="O282" t="s">
        <v>30</v>
      </c>
      <c r="P282" t="s">
        <v>527</v>
      </c>
      <c r="Q282" t="s">
        <v>31</v>
      </c>
      <c r="R282">
        <v>164500</v>
      </c>
      <c r="S282" t="s">
        <v>63</v>
      </c>
      <c r="T282">
        <v>1</v>
      </c>
      <c r="U282">
        <v>0</v>
      </c>
      <c r="V282">
        <v>0</v>
      </c>
      <c r="W282">
        <v>0</v>
      </c>
      <c r="X282">
        <v>0</v>
      </c>
      <c r="Y282" s="2">
        <v>-6789</v>
      </c>
      <c r="Z282" s="2">
        <v>6790</v>
      </c>
      <c r="AA282">
        <v>0</v>
      </c>
    </row>
    <row r="283" spans="1:27" x14ac:dyDescent="0.35">
      <c r="A283">
        <v>2337</v>
      </c>
      <c r="B283">
        <v>0</v>
      </c>
      <c r="C283" s="1">
        <v>38889</v>
      </c>
      <c r="F283" t="s">
        <v>374</v>
      </c>
      <c r="G283" s="1">
        <v>38899</v>
      </c>
      <c r="H283" s="2">
        <v>28628.13</v>
      </c>
      <c r="I283" s="2">
        <f t="shared" si="4"/>
        <v>-28627.13</v>
      </c>
      <c r="J283">
        <v>1</v>
      </c>
      <c r="K283" t="s">
        <v>23</v>
      </c>
      <c r="L283">
        <v>10700040</v>
      </c>
      <c r="M283" t="s">
        <v>65</v>
      </c>
      <c r="N283">
        <v>33000</v>
      </c>
      <c r="O283" t="s">
        <v>30</v>
      </c>
      <c r="P283" t="s">
        <v>527</v>
      </c>
      <c r="Q283" t="s">
        <v>31</v>
      </c>
      <c r="R283">
        <v>164500</v>
      </c>
      <c r="S283" t="s">
        <v>63</v>
      </c>
      <c r="T283">
        <v>1</v>
      </c>
      <c r="U283">
        <v>0</v>
      </c>
      <c r="V283">
        <v>0</v>
      </c>
      <c r="W283">
        <v>0</v>
      </c>
      <c r="X283">
        <v>0</v>
      </c>
      <c r="Y283" s="2">
        <v>-32811</v>
      </c>
      <c r="Z283" s="2">
        <v>32812</v>
      </c>
      <c r="AA283">
        <v>0</v>
      </c>
    </row>
    <row r="284" spans="1:27" x14ac:dyDescent="0.35">
      <c r="A284">
        <v>2336</v>
      </c>
      <c r="B284">
        <v>0</v>
      </c>
      <c r="C284" s="1">
        <v>38917</v>
      </c>
      <c r="D284">
        <v>2</v>
      </c>
      <c r="E284" t="s">
        <v>20</v>
      </c>
      <c r="F284" t="s">
        <v>295</v>
      </c>
      <c r="G284" s="1">
        <v>38930</v>
      </c>
      <c r="H284" s="2">
        <v>75892.86</v>
      </c>
      <c r="I284" s="2">
        <f t="shared" si="4"/>
        <v>-75891.86</v>
      </c>
      <c r="J284">
        <v>1</v>
      </c>
      <c r="K284" t="s">
        <v>23</v>
      </c>
      <c r="L284">
        <v>10700040</v>
      </c>
      <c r="M284" t="s">
        <v>65</v>
      </c>
      <c r="N284">
        <v>33000</v>
      </c>
      <c r="O284" t="s">
        <v>30</v>
      </c>
      <c r="P284" t="s">
        <v>527</v>
      </c>
      <c r="Q284" t="s">
        <v>31</v>
      </c>
      <c r="R284">
        <v>164500</v>
      </c>
      <c r="S284" t="s">
        <v>63</v>
      </c>
      <c r="T284">
        <v>1</v>
      </c>
      <c r="U284">
        <v>0</v>
      </c>
      <c r="V284">
        <v>0</v>
      </c>
      <c r="W284">
        <v>0</v>
      </c>
      <c r="X284">
        <v>0</v>
      </c>
      <c r="Y284" s="2">
        <v>-75555.320000000007</v>
      </c>
      <c r="Z284" s="2">
        <v>75556.320000000007</v>
      </c>
      <c r="AA284">
        <v>0</v>
      </c>
    </row>
    <row r="285" spans="1:27" x14ac:dyDescent="0.35">
      <c r="A285">
        <v>2338</v>
      </c>
      <c r="B285">
        <v>0</v>
      </c>
      <c r="C285" s="1">
        <v>38968</v>
      </c>
      <c r="D285">
        <v>1</v>
      </c>
      <c r="E285" t="s">
        <v>20</v>
      </c>
      <c r="F285" t="s">
        <v>375</v>
      </c>
      <c r="G285" s="1">
        <v>38961</v>
      </c>
      <c r="H285" s="2">
        <v>18571.43</v>
      </c>
      <c r="I285" s="2">
        <f t="shared" si="4"/>
        <v>-18570.43</v>
      </c>
      <c r="J285">
        <v>1</v>
      </c>
      <c r="K285" t="s">
        <v>23</v>
      </c>
      <c r="L285">
        <v>10700040</v>
      </c>
      <c r="M285" t="s">
        <v>65</v>
      </c>
      <c r="N285">
        <v>33000</v>
      </c>
      <c r="O285" t="s">
        <v>30</v>
      </c>
      <c r="P285" t="s">
        <v>527</v>
      </c>
      <c r="Q285" t="s">
        <v>31</v>
      </c>
      <c r="R285">
        <v>164500</v>
      </c>
      <c r="S285" t="s">
        <v>63</v>
      </c>
      <c r="T285">
        <v>1</v>
      </c>
      <c r="U285">
        <v>0</v>
      </c>
      <c r="V285">
        <v>0</v>
      </c>
      <c r="W285">
        <v>0</v>
      </c>
      <c r="X285">
        <v>0</v>
      </c>
      <c r="Y285" s="2">
        <v>-73635.360000000001</v>
      </c>
      <c r="Z285" s="2">
        <v>73636.36</v>
      </c>
      <c r="AA285">
        <v>0</v>
      </c>
    </row>
    <row r="286" spans="1:27" x14ac:dyDescent="0.35">
      <c r="A286">
        <v>2341</v>
      </c>
      <c r="B286">
        <v>0</v>
      </c>
      <c r="C286" s="1">
        <v>38992</v>
      </c>
      <c r="D286">
        <v>5</v>
      </c>
      <c r="E286" t="s">
        <v>20</v>
      </c>
      <c r="F286" t="s">
        <v>376</v>
      </c>
      <c r="G286" s="1">
        <v>38991</v>
      </c>
      <c r="H286" s="2">
        <v>450866.89</v>
      </c>
      <c r="I286" s="2">
        <f t="shared" si="4"/>
        <v>-450865.89</v>
      </c>
      <c r="J286">
        <v>1</v>
      </c>
      <c r="K286" t="s">
        <v>23</v>
      </c>
      <c r="L286">
        <v>10700040</v>
      </c>
      <c r="M286" t="s">
        <v>65</v>
      </c>
      <c r="N286">
        <v>33000</v>
      </c>
      <c r="O286" t="s">
        <v>30</v>
      </c>
      <c r="P286" t="s">
        <v>527</v>
      </c>
      <c r="Q286" t="s">
        <v>31</v>
      </c>
      <c r="R286">
        <v>164500</v>
      </c>
      <c r="S286" t="s">
        <v>63</v>
      </c>
      <c r="T286">
        <v>1</v>
      </c>
      <c r="U286">
        <v>0</v>
      </c>
      <c r="V286">
        <v>0</v>
      </c>
      <c r="W286">
        <v>0</v>
      </c>
      <c r="X286">
        <v>0</v>
      </c>
      <c r="Y286" s="2">
        <v>-7271.73</v>
      </c>
      <c r="Z286" s="2">
        <v>7272.73</v>
      </c>
      <c r="AA286">
        <v>0</v>
      </c>
    </row>
    <row r="287" spans="1:27" x14ac:dyDescent="0.35">
      <c r="A287">
        <v>2340</v>
      </c>
      <c r="B287">
        <v>0</v>
      </c>
      <c r="C287" s="1">
        <v>39002</v>
      </c>
      <c r="D287">
        <v>2</v>
      </c>
      <c r="E287" t="s">
        <v>20</v>
      </c>
      <c r="F287" t="s">
        <v>377</v>
      </c>
      <c r="G287" s="1">
        <v>38991</v>
      </c>
      <c r="H287" s="2">
        <v>30357.14</v>
      </c>
      <c r="I287" s="2">
        <f t="shared" si="4"/>
        <v>-30356.14</v>
      </c>
      <c r="J287">
        <v>1</v>
      </c>
      <c r="K287" t="s">
        <v>23</v>
      </c>
      <c r="L287">
        <v>10700040</v>
      </c>
      <c r="M287" t="s">
        <v>65</v>
      </c>
      <c r="N287">
        <v>33000</v>
      </c>
      <c r="O287" t="s">
        <v>30</v>
      </c>
      <c r="P287" t="s">
        <v>527</v>
      </c>
      <c r="Q287" t="s">
        <v>31</v>
      </c>
      <c r="R287">
        <v>164500</v>
      </c>
      <c r="S287" t="s">
        <v>63</v>
      </c>
      <c r="T287">
        <v>1</v>
      </c>
      <c r="U287">
        <v>0</v>
      </c>
      <c r="V287">
        <v>0</v>
      </c>
      <c r="W287">
        <v>0</v>
      </c>
      <c r="X287">
        <v>0</v>
      </c>
      <c r="Y287" s="2">
        <v>-14544.45</v>
      </c>
      <c r="Z287" s="2">
        <v>14545.45</v>
      </c>
      <c r="AA287">
        <v>0</v>
      </c>
    </row>
    <row r="288" spans="1:27" x14ac:dyDescent="0.35">
      <c r="A288">
        <v>2339</v>
      </c>
      <c r="B288">
        <v>0</v>
      </c>
      <c r="C288" s="1">
        <v>39004</v>
      </c>
      <c r="D288">
        <v>2</v>
      </c>
      <c r="E288" t="s">
        <v>20</v>
      </c>
      <c r="F288" t="s">
        <v>378</v>
      </c>
      <c r="G288" s="1">
        <v>38991</v>
      </c>
      <c r="H288" s="2">
        <v>15500</v>
      </c>
      <c r="I288" s="2">
        <f t="shared" si="4"/>
        <v>-15499</v>
      </c>
      <c r="J288">
        <v>1</v>
      </c>
      <c r="K288" t="s">
        <v>23</v>
      </c>
      <c r="L288">
        <v>10700040</v>
      </c>
      <c r="M288" t="s">
        <v>65</v>
      </c>
      <c r="N288">
        <v>33000</v>
      </c>
      <c r="O288" t="s">
        <v>30</v>
      </c>
      <c r="P288" t="s">
        <v>527</v>
      </c>
      <c r="Q288" t="s">
        <v>31</v>
      </c>
      <c r="R288">
        <v>164500</v>
      </c>
      <c r="S288" t="s">
        <v>63</v>
      </c>
      <c r="T288">
        <v>1</v>
      </c>
      <c r="U288">
        <v>0</v>
      </c>
      <c r="V288">
        <v>0</v>
      </c>
      <c r="W288">
        <v>0</v>
      </c>
      <c r="X288">
        <v>0</v>
      </c>
      <c r="Y288" s="2">
        <v>-15626.27</v>
      </c>
      <c r="Z288" s="2">
        <v>15627.27</v>
      </c>
      <c r="AA288">
        <v>0</v>
      </c>
    </row>
    <row r="289" spans="1:27" x14ac:dyDescent="0.35">
      <c r="A289">
        <v>2350</v>
      </c>
      <c r="B289">
        <v>0</v>
      </c>
      <c r="C289" s="1">
        <v>39721</v>
      </c>
      <c r="F289" t="s">
        <v>385</v>
      </c>
      <c r="G289" s="1">
        <v>39722</v>
      </c>
      <c r="H289" s="2">
        <v>1150892.8600000001</v>
      </c>
      <c r="I289" s="2">
        <f t="shared" si="4"/>
        <v>-1150891.8600000001</v>
      </c>
      <c r="J289">
        <v>1</v>
      </c>
      <c r="K289" t="s">
        <v>23</v>
      </c>
      <c r="L289">
        <v>10700040</v>
      </c>
      <c r="M289" t="s">
        <v>65</v>
      </c>
      <c r="N289">
        <v>33000</v>
      </c>
      <c r="O289" t="s">
        <v>30</v>
      </c>
      <c r="P289" t="s">
        <v>527</v>
      </c>
      <c r="Q289" t="s">
        <v>31</v>
      </c>
      <c r="R289">
        <v>164500</v>
      </c>
      <c r="S289" t="s">
        <v>63</v>
      </c>
      <c r="T289">
        <v>1</v>
      </c>
      <c r="U289">
        <v>0</v>
      </c>
      <c r="V289">
        <v>0</v>
      </c>
      <c r="W289">
        <v>0</v>
      </c>
      <c r="X289">
        <v>0</v>
      </c>
      <c r="Y289" s="2">
        <v>-8180.82</v>
      </c>
      <c r="Z289" s="2">
        <v>8181.82</v>
      </c>
      <c r="AA289">
        <v>0</v>
      </c>
    </row>
    <row r="290" spans="1:27" x14ac:dyDescent="0.35">
      <c r="A290">
        <v>2895</v>
      </c>
      <c r="B290">
        <v>0</v>
      </c>
      <c r="C290" s="1">
        <v>40999</v>
      </c>
      <c r="D290">
        <v>1</v>
      </c>
      <c r="E290" t="s">
        <v>334</v>
      </c>
      <c r="F290" t="s">
        <v>391</v>
      </c>
      <c r="G290" s="1">
        <v>41000</v>
      </c>
      <c r="H290" s="2">
        <v>9960</v>
      </c>
      <c r="I290" s="2">
        <f t="shared" si="4"/>
        <v>-9959</v>
      </c>
      <c r="J290">
        <v>1</v>
      </c>
      <c r="K290" t="s">
        <v>23</v>
      </c>
      <c r="L290">
        <v>10700040</v>
      </c>
      <c r="M290" t="s">
        <v>65</v>
      </c>
      <c r="N290">
        <v>33000</v>
      </c>
      <c r="O290" t="s">
        <v>30</v>
      </c>
      <c r="P290" t="s">
        <v>527</v>
      </c>
      <c r="Q290" t="s">
        <v>31</v>
      </c>
      <c r="R290">
        <v>164500</v>
      </c>
      <c r="S290" t="s">
        <v>63</v>
      </c>
      <c r="T290">
        <v>1</v>
      </c>
      <c r="U290">
        <v>0</v>
      </c>
      <c r="V290">
        <v>0</v>
      </c>
      <c r="W290">
        <v>0</v>
      </c>
      <c r="X290">
        <v>0</v>
      </c>
      <c r="Y290" s="2">
        <v>-61026.27</v>
      </c>
      <c r="Z290" s="2">
        <v>61027.27</v>
      </c>
      <c r="AA290">
        <v>0</v>
      </c>
    </row>
    <row r="291" spans="1:27" x14ac:dyDescent="0.35">
      <c r="A291">
        <v>2896</v>
      </c>
      <c r="B291">
        <v>0</v>
      </c>
      <c r="C291" s="1">
        <v>40999</v>
      </c>
      <c r="D291">
        <v>1</v>
      </c>
      <c r="E291" t="s">
        <v>334</v>
      </c>
      <c r="F291" t="s">
        <v>391</v>
      </c>
      <c r="G291" s="1">
        <v>41000</v>
      </c>
      <c r="H291" s="2">
        <v>9960</v>
      </c>
      <c r="I291" s="2">
        <f t="shared" si="4"/>
        <v>-9959</v>
      </c>
      <c r="J291">
        <v>1</v>
      </c>
      <c r="K291" t="s">
        <v>23</v>
      </c>
      <c r="L291">
        <v>10700040</v>
      </c>
      <c r="M291" t="s">
        <v>65</v>
      </c>
      <c r="N291">
        <v>33000</v>
      </c>
      <c r="O291" t="s">
        <v>30</v>
      </c>
      <c r="P291" t="s">
        <v>527</v>
      </c>
      <c r="Q291" t="s">
        <v>31</v>
      </c>
      <c r="R291">
        <v>164500</v>
      </c>
      <c r="S291" t="s">
        <v>63</v>
      </c>
      <c r="T291">
        <v>1</v>
      </c>
      <c r="U291">
        <v>0</v>
      </c>
      <c r="V291">
        <v>0</v>
      </c>
      <c r="W291">
        <v>0</v>
      </c>
      <c r="X291">
        <v>0</v>
      </c>
      <c r="Y291" s="2">
        <v>-21156.27</v>
      </c>
      <c r="Z291" s="2">
        <v>21157.27</v>
      </c>
      <c r="AA291">
        <v>0</v>
      </c>
    </row>
    <row r="292" spans="1:27" x14ac:dyDescent="0.35">
      <c r="A292">
        <v>2931</v>
      </c>
      <c r="B292">
        <v>0</v>
      </c>
      <c r="C292" s="1">
        <v>41152</v>
      </c>
      <c r="D292">
        <v>1</v>
      </c>
      <c r="E292" t="s">
        <v>20</v>
      </c>
      <c r="F292" t="s">
        <v>395</v>
      </c>
      <c r="G292" s="1">
        <v>41153</v>
      </c>
      <c r="H292" s="2">
        <v>5491.07</v>
      </c>
      <c r="I292" s="2">
        <f t="shared" si="4"/>
        <v>-5490.07</v>
      </c>
      <c r="J292">
        <v>1</v>
      </c>
      <c r="K292" t="s">
        <v>23</v>
      </c>
      <c r="L292">
        <v>10700040</v>
      </c>
      <c r="M292" t="s">
        <v>65</v>
      </c>
      <c r="N292">
        <v>33000</v>
      </c>
      <c r="O292" t="s">
        <v>30</v>
      </c>
      <c r="P292" t="s">
        <v>527</v>
      </c>
      <c r="Q292" t="s">
        <v>31</v>
      </c>
      <c r="R292">
        <v>164500</v>
      </c>
      <c r="S292" t="s">
        <v>63</v>
      </c>
      <c r="T292">
        <v>1</v>
      </c>
      <c r="U292">
        <v>0</v>
      </c>
      <c r="V292">
        <v>0</v>
      </c>
      <c r="W292">
        <v>0</v>
      </c>
      <c r="X292">
        <v>0</v>
      </c>
      <c r="Y292" s="2">
        <v>-170939</v>
      </c>
      <c r="Z292" s="2">
        <v>170940</v>
      </c>
      <c r="AA292">
        <v>0</v>
      </c>
    </row>
    <row r="293" spans="1:27" x14ac:dyDescent="0.35">
      <c r="A293">
        <v>2932</v>
      </c>
      <c r="B293">
        <v>0</v>
      </c>
      <c r="C293" s="1">
        <v>41152</v>
      </c>
      <c r="D293">
        <v>1</v>
      </c>
      <c r="E293" t="s">
        <v>20</v>
      </c>
      <c r="F293" t="s">
        <v>395</v>
      </c>
      <c r="G293" s="1">
        <v>41153</v>
      </c>
      <c r="H293" s="2">
        <v>5491.07</v>
      </c>
      <c r="I293" s="2">
        <f t="shared" si="4"/>
        <v>-5490.07</v>
      </c>
      <c r="J293">
        <v>1</v>
      </c>
      <c r="K293" t="s">
        <v>23</v>
      </c>
      <c r="L293">
        <v>10700040</v>
      </c>
      <c r="M293" t="s">
        <v>65</v>
      </c>
      <c r="N293">
        <v>33000</v>
      </c>
      <c r="O293" t="s">
        <v>30</v>
      </c>
      <c r="P293" t="s">
        <v>527</v>
      </c>
      <c r="Q293" t="s">
        <v>31</v>
      </c>
      <c r="R293">
        <v>164500</v>
      </c>
      <c r="S293" t="s">
        <v>63</v>
      </c>
      <c r="T293">
        <v>1</v>
      </c>
      <c r="U293">
        <v>0</v>
      </c>
      <c r="V293">
        <v>0</v>
      </c>
      <c r="W293">
        <v>0</v>
      </c>
      <c r="X293">
        <v>0</v>
      </c>
      <c r="Y293" s="2">
        <v>-43899</v>
      </c>
      <c r="Z293" s="2">
        <v>43900</v>
      </c>
      <c r="AA293">
        <v>0</v>
      </c>
    </row>
    <row r="294" spans="1:27" x14ac:dyDescent="0.35">
      <c r="A294">
        <v>2933</v>
      </c>
      <c r="B294">
        <v>0</v>
      </c>
      <c r="C294" s="1">
        <v>41152</v>
      </c>
      <c r="D294">
        <v>1</v>
      </c>
      <c r="E294" t="s">
        <v>20</v>
      </c>
      <c r="F294" t="s">
        <v>395</v>
      </c>
      <c r="G294" s="1">
        <v>41153</v>
      </c>
      <c r="H294" s="2">
        <v>5491.07</v>
      </c>
      <c r="I294" s="2">
        <f t="shared" si="4"/>
        <v>-5490.07</v>
      </c>
      <c r="J294">
        <v>1</v>
      </c>
      <c r="K294" t="s">
        <v>23</v>
      </c>
      <c r="L294">
        <v>10700040</v>
      </c>
      <c r="M294" t="s">
        <v>65</v>
      </c>
      <c r="N294">
        <v>33000</v>
      </c>
      <c r="O294" t="s">
        <v>30</v>
      </c>
      <c r="P294" t="s">
        <v>527</v>
      </c>
      <c r="Q294" t="s">
        <v>31</v>
      </c>
      <c r="R294">
        <v>164500</v>
      </c>
      <c r="S294" t="s">
        <v>63</v>
      </c>
      <c r="T294">
        <v>0</v>
      </c>
      <c r="U294">
        <v>0</v>
      </c>
      <c r="V294">
        <v>0</v>
      </c>
      <c r="W294">
        <v>0</v>
      </c>
      <c r="X294">
        <v>0</v>
      </c>
      <c r="Y294" s="2">
        <v>-33314.559999999998</v>
      </c>
      <c r="Z294" s="2">
        <v>33314.559999999998</v>
      </c>
      <c r="AA294">
        <v>0</v>
      </c>
    </row>
    <row r="295" spans="1:27" x14ac:dyDescent="0.35">
      <c r="A295">
        <v>2934</v>
      </c>
      <c r="B295">
        <v>0</v>
      </c>
      <c r="C295" s="1">
        <v>41152</v>
      </c>
      <c r="D295">
        <v>1</v>
      </c>
      <c r="E295" t="s">
        <v>20</v>
      </c>
      <c r="F295" t="s">
        <v>395</v>
      </c>
      <c r="G295" s="1">
        <v>41153</v>
      </c>
      <c r="H295" s="2">
        <v>5491.08</v>
      </c>
      <c r="I295" s="2">
        <f t="shared" si="4"/>
        <v>-5490.08</v>
      </c>
      <c r="J295">
        <v>1</v>
      </c>
      <c r="K295" t="s">
        <v>23</v>
      </c>
      <c r="L295">
        <v>10700040</v>
      </c>
      <c r="M295" t="s">
        <v>65</v>
      </c>
      <c r="N295">
        <v>33000</v>
      </c>
      <c r="O295" t="s">
        <v>30</v>
      </c>
      <c r="P295" t="s">
        <v>527</v>
      </c>
      <c r="Q295" t="s">
        <v>31</v>
      </c>
      <c r="R295">
        <v>164500</v>
      </c>
      <c r="S295" t="s">
        <v>63</v>
      </c>
      <c r="T295">
        <v>1</v>
      </c>
      <c r="U295">
        <v>0</v>
      </c>
      <c r="V295">
        <v>0</v>
      </c>
      <c r="W295">
        <v>0</v>
      </c>
      <c r="X295">
        <v>0</v>
      </c>
      <c r="Y295" s="2">
        <v>-263635.36</v>
      </c>
      <c r="Z295" s="2">
        <v>263636.36</v>
      </c>
      <c r="AA295">
        <v>0</v>
      </c>
    </row>
    <row r="296" spans="1:27" x14ac:dyDescent="0.35">
      <c r="A296">
        <v>2961</v>
      </c>
      <c r="B296">
        <v>0</v>
      </c>
      <c r="C296" s="1">
        <v>41274</v>
      </c>
      <c r="D296">
        <v>1</v>
      </c>
      <c r="E296" t="s">
        <v>20</v>
      </c>
      <c r="F296" t="s">
        <v>397</v>
      </c>
      <c r="G296" s="1">
        <v>41244</v>
      </c>
      <c r="H296" s="2">
        <v>5658</v>
      </c>
      <c r="I296" s="2">
        <f t="shared" si="4"/>
        <v>-5657</v>
      </c>
      <c r="J296">
        <v>1</v>
      </c>
      <c r="K296" t="s">
        <v>23</v>
      </c>
      <c r="L296">
        <v>10700040</v>
      </c>
      <c r="M296" t="s">
        <v>65</v>
      </c>
      <c r="N296">
        <v>33000</v>
      </c>
      <c r="O296" t="s">
        <v>30</v>
      </c>
      <c r="P296" t="s">
        <v>527</v>
      </c>
      <c r="Q296" t="s">
        <v>31</v>
      </c>
      <c r="R296">
        <v>164500</v>
      </c>
      <c r="S296" t="s">
        <v>63</v>
      </c>
      <c r="T296">
        <v>1</v>
      </c>
      <c r="U296">
        <v>0</v>
      </c>
      <c r="V296">
        <v>0</v>
      </c>
      <c r="W296">
        <v>0</v>
      </c>
      <c r="X296">
        <v>0</v>
      </c>
      <c r="Y296" s="2">
        <v>-12708.09</v>
      </c>
      <c r="Z296" s="2">
        <v>12709.09</v>
      </c>
      <c r="AA296">
        <v>0</v>
      </c>
    </row>
    <row r="297" spans="1:27" x14ac:dyDescent="0.35">
      <c r="A297">
        <v>2962</v>
      </c>
      <c r="B297">
        <v>0</v>
      </c>
      <c r="C297" s="1">
        <v>41274</v>
      </c>
      <c r="D297">
        <v>1</v>
      </c>
      <c r="E297" t="s">
        <v>20</v>
      </c>
      <c r="F297" t="s">
        <v>398</v>
      </c>
      <c r="G297" s="1">
        <v>41244</v>
      </c>
      <c r="H297" s="2">
        <v>5837</v>
      </c>
      <c r="I297" s="2">
        <f t="shared" si="4"/>
        <v>-5836</v>
      </c>
      <c r="J297">
        <v>1</v>
      </c>
      <c r="K297" t="s">
        <v>23</v>
      </c>
      <c r="L297">
        <v>10700040</v>
      </c>
      <c r="M297" t="s">
        <v>65</v>
      </c>
      <c r="N297">
        <v>33000</v>
      </c>
      <c r="O297" t="s">
        <v>30</v>
      </c>
      <c r="P297" t="s">
        <v>527</v>
      </c>
      <c r="Q297" t="s">
        <v>31</v>
      </c>
      <c r="R297">
        <v>164500</v>
      </c>
      <c r="S297" t="s">
        <v>63</v>
      </c>
      <c r="T297">
        <v>1</v>
      </c>
      <c r="U297">
        <v>0</v>
      </c>
      <c r="V297">
        <v>0</v>
      </c>
      <c r="W297">
        <v>0</v>
      </c>
      <c r="X297">
        <v>0</v>
      </c>
      <c r="Y297" s="2">
        <v>-31942.639999999999</v>
      </c>
      <c r="Z297" s="2">
        <v>31943.64</v>
      </c>
      <c r="AA297">
        <v>0</v>
      </c>
    </row>
    <row r="298" spans="1:27" x14ac:dyDescent="0.35">
      <c r="A298">
        <v>2963</v>
      </c>
      <c r="B298">
        <v>0</v>
      </c>
      <c r="C298" s="1">
        <v>41274</v>
      </c>
      <c r="D298">
        <v>1</v>
      </c>
      <c r="E298" t="s">
        <v>20</v>
      </c>
      <c r="F298" t="s">
        <v>399</v>
      </c>
      <c r="G298" s="1">
        <v>41244</v>
      </c>
      <c r="H298" s="2">
        <v>6735</v>
      </c>
      <c r="I298" s="2">
        <f t="shared" si="4"/>
        <v>-6734</v>
      </c>
      <c r="J298">
        <v>1</v>
      </c>
      <c r="K298" t="s">
        <v>23</v>
      </c>
      <c r="L298">
        <v>10700040</v>
      </c>
      <c r="M298" t="s">
        <v>65</v>
      </c>
      <c r="N298">
        <v>33000</v>
      </c>
      <c r="O298" t="s">
        <v>30</v>
      </c>
      <c r="P298" t="s">
        <v>527</v>
      </c>
      <c r="Q298" t="s">
        <v>31</v>
      </c>
      <c r="R298">
        <v>164500</v>
      </c>
      <c r="S298" t="s">
        <v>63</v>
      </c>
      <c r="T298">
        <v>1</v>
      </c>
      <c r="U298">
        <v>0</v>
      </c>
      <c r="V298">
        <v>0</v>
      </c>
      <c r="W298">
        <v>0</v>
      </c>
      <c r="X298">
        <v>0</v>
      </c>
      <c r="Y298" s="2">
        <v>-70702.210000000006</v>
      </c>
      <c r="Z298" s="2">
        <v>70703.210000000006</v>
      </c>
      <c r="AA298">
        <v>0</v>
      </c>
    </row>
    <row r="299" spans="1:27" x14ac:dyDescent="0.35">
      <c r="A299">
        <v>2964</v>
      </c>
      <c r="B299">
        <v>0</v>
      </c>
      <c r="C299" s="1">
        <v>41274</v>
      </c>
      <c r="D299">
        <v>1</v>
      </c>
      <c r="E299" t="s">
        <v>20</v>
      </c>
      <c r="F299" t="s">
        <v>400</v>
      </c>
      <c r="G299" s="1">
        <v>41244</v>
      </c>
      <c r="H299" s="2">
        <v>7872</v>
      </c>
      <c r="I299" s="2">
        <f t="shared" si="4"/>
        <v>-7871</v>
      </c>
      <c r="J299">
        <v>1</v>
      </c>
      <c r="K299" t="s">
        <v>23</v>
      </c>
      <c r="L299">
        <v>10700040</v>
      </c>
      <c r="M299" t="s">
        <v>65</v>
      </c>
      <c r="N299">
        <v>33000</v>
      </c>
      <c r="O299" t="s">
        <v>30</v>
      </c>
      <c r="P299" t="s">
        <v>527</v>
      </c>
      <c r="Q299" t="s">
        <v>31</v>
      </c>
      <c r="R299">
        <v>164500</v>
      </c>
      <c r="S299" t="s">
        <v>63</v>
      </c>
      <c r="T299">
        <v>1</v>
      </c>
      <c r="U299">
        <v>0</v>
      </c>
      <c r="V299">
        <v>0</v>
      </c>
      <c r="W299">
        <v>0</v>
      </c>
      <c r="X299">
        <v>0</v>
      </c>
      <c r="Y299" s="2">
        <v>-68362.64</v>
      </c>
      <c r="Z299" s="2">
        <v>68363.64</v>
      </c>
      <c r="AA299">
        <v>0</v>
      </c>
    </row>
    <row r="300" spans="1:27" x14ac:dyDescent="0.35">
      <c r="A300">
        <v>2965</v>
      </c>
      <c r="B300">
        <v>0</v>
      </c>
      <c r="C300" s="1">
        <v>41274</v>
      </c>
      <c r="D300">
        <v>1</v>
      </c>
      <c r="E300" t="s">
        <v>20</v>
      </c>
      <c r="F300" t="s">
        <v>401</v>
      </c>
      <c r="G300" s="1">
        <v>41244</v>
      </c>
      <c r="H300" s="2">
        <v>9510</v>
      </c>
      <c r="I300" s="2">
        <f t="shared" si="4"/>
        <v>-9509</v>
      </c>
      <c r="J300">
        <v>1</v>
      </c>
      <c r="K300" t="s">
        <v>23</v>
      </c>
      <c r="L300">
        <v>10700040</v>
      </c>
      <c r="M300" t="s">
        <v>65</v>
      </c>
      <c r="N300">
        <v>33000</v>
      </c>
      <c r="O300" t="s">
        <v>30</v>
      </c>
      <c r="P300" t="s">
        <v>527</v>
      </c>
      <c r="Q300" t="s">
        <v>31</v>
      </c>
      <c r="R300">
        <v>164500</v>
      </c>
      <c r="S300" t="s">
        <v>63</v>
      </c>
      <c r="T300">
        <v>1</v>
      </c>
      <c r="U300">
        <v>0</v>
      </c>
      <c r="V300">
        <v>0</v>
      </c>
      <c r="W300">
        <v>0</v>
      </c>
      <c r="X300">
        <v>0</v>
      </c>
      <c r="Y300" s="2">
        <v>-24999</v>
      </c>
      <c r="Z300" s="2">
        <v>25000</v>
      </c>
      <c r="AA300">
        <v>0</v>
      </c>
    </row>
    <row r="301" spans="1:27" x14ac:dyDescent="0.35">
      <c r="A301">
        <v>2991</v>
      </c>
      <c r="B301">
        <v>0</v>
      </c>
      <c r="C301" s="1">
        <v>41306</v>
      </c>
      <c r="D301">
        <v>1</v>
      </c>
      <c r="E301" t="s">
        <v>20</v>
      </c>
      <c r="F301" t="s">
        <v>403</v>
      </c>
      <c r="G301" s="1">
        <v>41244</v>
      </c>
      <c r="H301" s="2">
        <v>357142.86</v>
      </c>
      <c r="I301" s="2">
        <f t="shared" si="4"/>
        <v>-357141.86</v>
      </c>
      <c r="J301">
        <v>1</v>
      </c>
      <c r="K301" t="s">
        <v>23</v>
      </c>
      <c r="L301">
        <v>10700040</v>
      </c>
      <c r="M301" t="s">
        <v>65</v>
      </c>
      <c r="N301">
        <v>33000</v>
      </c>
      <c r="O301" t="s">
        <v>30</v>
      </c>
      <c r="P301" t="s">
        <v>527</v>
      </c>
      <c r="Q301" t="s">
        <v>31</v>
      </c>
      <c r="R301">
        <v>164500</v>
      </c>
      <c r="S301" t="s">
        <v>63</v>
      </c>
      <c r="T301">
        <v>1</v>
      </c>
      <c r="U301">
        <v>0</v>
      </c>
      <c r="V301">
        <v>0</v>
      </c>
      <c r="W301">
        <v>0</v>
      </c>
      <c r="X301">
        <v>0</v>
      </c>
      <c r="Y301" s="2">
        <v>-7608.09</v>
      </c>
      <c r="Z301" s="2">
        <v>7609.09</v>
      </c>
      <c r="AA301">
        <v>0</v>
      </c>
    </row>
    <row r="302" spans="1:27" x14ac:dyDescent="0.35">
      <c r="A302">
        <v>3046</v>
      </c>
      <c r="B302">
        <v>0</v>
      </c>
      <c r="C302" s="1">
        <v>41394</v>
      </c>
      <c r="D302">
        <v>1</v>
      </c>
      <c r="E302" t="s">
        <v>334</v>
      </c>
      <c r="F302" t="s">
        <v>406</v>
      </c>
      <c r="G302" s="1">
        <v>41365</v>
      </c>
      <c r="H302" s="2">
        <v>51500</v>
      </c>
      <c r="I302" s="2">
        <f t="shared" si="4"/>
        <v>-51499</v>
      </c>
      <c r="J302">
        <v>1</v>
      </c>
      <c r="K302" t="s">
        <v>23</v>
      </c>
      <c r="L302">
        <v>10700040</v>
      </c>
      <c r="M302" t="s">
        <v>65</v>
      </c>
      <c r="N302">
        <v>33000</v>
      </c>
      <c r="O302" t="s">
        <v>30</v>
      </c>
      <c r="P302" t="s">
        <v>527</v>
      </c>
      <c r="Q302" t="s">
        <v>31</v>
      </c>
      <c r="R302">
        <v>164500</v>
      </c>
      <c r="S302" t="s">
        <v>63</v>
      </c>
      <c r="T302">
        <v>1</v>
      </c>
      <c r="U302">
        <v>0</v>
      </c>
      <c r="V302">
        <v>0</v>
      </c>
      <c r="W302">
        <v>0</v>
      </c>
      <c r="X302">
        <v>0</v>
      </c>
      <c r="Y302" s="2">
        <v>-169739</v>
      </c>
      <c r="Z302" s="2">
        <v>169740</v>
      </c>
      <c r="AA302">
        <v>0</v>
      </c>
    </row>
    <row r="303" spans="1:27" x14ac:dyDescent="0.35">
      <c r="A303">
        <v>3062</v>
      </c>
      <c r="B303">
        <v>0</v>
      </c>
      <c r="C303" s="1">
        <v>41425</v>
      </c>
      <c r="D303">
        <v>1</v>
      </c>
      <c r="E303" t="s">
        <v>334</v>
      </c>
      <c r="F303" t="s">
        <v>407</v>
      </c>
      <c r="G303" s="1">
        <v>41426</v>
      </c>
      <c r="H303" s="2">
        <v>16016.48</v>
      </c>
      <c r="I303" s="2">
        <f t="shared" si="4"/>
        <v>-16015.48</v>
      </c>
      <c r="J303">
        <v>1</v>
      </c>
      <c r="K303" t="s">
        <v>23</v>
      </c>
      <c r="L303">
        <v>10700040</v>
      </c>
      <c r="M303" t="s">
        <v>65</v>
      </c>
      <c r="N303">
        <v>33000</v>
      </c>
      <c r="O303" t="s">
        <v>30</v>
      </c>
      <c r="P303" t="s">
        <v>527</v>
      </c>
      <c r="Q303" t="s">
        <v>31</v>
      </c>
      <c r="R303">
        <v>164500</v>
      </c>
      <c r="S303" t="s">
        <v>63</v>
      </c>
      <c r="T303">
        <v>1</v>
      </c>
      <c r="U303">
        <v>0</v>
      </c>
      <c r="V303">
        <v>0</v>
      </c>
      <c r="W303">
        <v>0</v>
      </c>
      <c r="X303">
        <v>0</v>
      </c>
      <c r="Y303" s="2">
        <v>-143959.09</v>
      </c>
      <c r="Z303" s="2">
        <v>143960.09</v>
      </c>
      <c r="AA303">
        <v>0</v>
      </c>
    </row>
    <row r="304" spans="1:27" x14ac:dyDescent="0.35">
      <c r="A304">
        <v>3070</v>
      </c>
      <c r="B304">
        <v>0</v>
      </c>
      <c r="C304" s="1">
        <v>41455</v>
      </c>
      <c r="D304">
        <v>1</v>
      </c>
      <c r="E304" t="s">
        <v>334</v>
      </c>
      <c r="F304" t="s">
        <v>409</v>
      </c>
      <c r="G304" s="1">
        <v>41456</v>
      </c>
      <c r="H304" s="2">
        <v>8100</v>
      </c>
      <c r="I304" s="2">
        <f t="shared" si="4"/>
        <v>-8099</v>
      </c>
      <c r="J304">
        <v>1</v>
      </c>
      <c r="K304" t="s">
        <v>23</v>
      </c>
      <c r="L304">
        <v>10700040</v>
      </c>
      <c r="M304" t="s">
        <v>65</v>
      </c>
      <c r="N304">
        <v>33000</v>
      </c>
      <c r="O304" t="s">
        <v>30</v>
      </c>
      <c r="P304" t="s">
        <v>527</v>
      </c>
      <c r="Q304" t="s">
        <v>31</v>
      </c>
      <c r="R304">
        <v>164500</v>
      </c>
      <c r="S304" t="s">
        <v>63</v>
      </c>
      <c r="T304">
        <v>1</v>
      </c>
      <c r="U304">
        <v>0</v>
      </c>
      <c r="V304">
        <v>0</v>
      </c>
      <c r="W304">
        <v>0</v>
      </c>
      <c r="X304">
        <v>0</v>
      </c>
      <c r="Y304" s="2">
        <v>-59089.91</v>
      </c>
      <c r="Z304" s="2">
        <v>59090.91</v>
      </c>
      <c r="AA304">
        <v>0</v>
      </c>
    </row>
    <row r="305" spans="1:27" x14ac:dyDescent="0.35">
      <c r="A305">
        <v>3071</v>
      </c>
      <c r="B305">
        <v>0</v>
      </c>
      <c r="C305" s="1">
        <v>41455</v>
      </c>
      <c r="D305">
        <v>1</v>
      </c>
      <c r="E305" t="s">
        <v>334</v>
      </c>
      <c r="F305" t="s">
        <v>409</v>
      </c>
      <c r="G305" s="1">
        <v>41456</v>
      </c>
      <c r="H305" s="2">
        <v>8100</v>
      </c>
      <c r="I305" s="2">
        <f t="shared" si="4"/>
        <v>-8099</v>
      </c>
      <c r="J305">
        <v>1</v>
      </c>
      <c r="K305" t="s">
        <v>23</v>
      </c>
      <c r="L305">
        <v>10700040</v>
      </c>
      <c r="M305" t="s">
        <v>65</v>
      </c>
      <c r="N305">
        <v>33000</v>
      </c>
      <c r="O305" t="s">
        <v>30</v>
      </c>
      <c r="P305" t="s">
        <v>527</v>
      </c>
      <c r="Q305" t="s">
        <v>31</v>
      </c>
      <c r="R305">
        <v>164500</v>
      </c>
      <c r="S305" t="s">
        <v>63</v>
      </c>
      <c r="T305">
        <v>1</v>
      </c>
      <c r="U305">
        <v>0</v>
      </c>
      <c r="V305">
        <v>0</v>
      </c>
      <c r="W305">
        <v>0</v>
      </c>
      <c r="X305">
        <v>0</v>
      </c>
      <c r="Y305" s="2">
        <v>-19999</v>
      </c>
      <c r="Z305" s="2">
        <v>20000</v>
      </c>
      <c r="AA305">
        <v>0</v>
      </c>
    </row>
    <row r="306" spans="1:27" x14ac:dyDescent="0.35">
      <c r="A306">
        <v>3080</v>
      </c>
      <c r="B306">
        <v>0</v>
      </c>
      <c r="C306" s="1">
        <v>41486</v>
      </c>
      <c r="D306">
        <v>1</v>
      </c>
      <c r="E306" t="s">
        <v>334</v>
      </c>
      <c r="F306" t="s">
        <v>407</v>
      </c>
      <c r="G306" s="1">
        <v>41487</v>
      </c>
      <c r="H306" s="2">
        <v>14004.11</v>
      </c>
      <c r="I306" s="2">
        <f t="shared" si="4"/>
        <v>-14003.11</v>
      </c>
      <c r="J306">
        <v>1</v>
      </c>
      <c r="K306" t="s">
        <v>23</v>
      </c>
      <c r="L306">
        <v>10700040</v>
      </c>
      <c r="M306" t="s">
        <v>65</v>
      </c>
      <c r="N306">
        <v>33000</v>
      </c>
      <c r="O306" t="s">
        <v>30</v>
      </c>
      <c r="P306" t="s">
        <v>527</v>
      </c>
      <c r="Q306" t="s">
        <v>31</v>
      </c>
      <c r="R306">
        <v>164500</v>
      </c>
      <c r="S306" t="s">
        <v>63</v>
      </c>
      <c r="T306">
        <v>1</v>
      </c>
      <c r="U306">
        <v>0</v>
      </c>
      <c r="V306">
        <v>0</v>
      </c>
      <c r="W306">
        <v>0</v>
      </c>
      <c r="X306">
        <v>0</v>
      </c>
      <c r="Y306" s="2">
        <v>-20249</v>
      </c>
      <c r="Z306" s="2">
        <v>20250</v>
      </c>
      <c r="AA306">
        <v>0</v>
      </c>
    </row>
    <row r="307" spans="1:27" x14ac:dyDescent="0.35">
      <c r="A307">
        <v>3101</v>
      </c>
      <c r="B307">
        <v>0</v>
      </c>
      <c r="C307" s="1">
        <v>41547</v>
      </c>
      <c r="D307">
        <v>1</v>
      </c>
      <c r="E307" t="s">
        <v>334</v>
      </c>
      <c r="F307" t="s">
        <v>413</v>
      </c>
      <c r="G307" s="1">
        <v>41518</v>
      </c>
      <c r="H307" s="2">
        <v>8100</v>
      </c>
      <c r="I307" s="2">
        <f t="shared" si="4"/>
        <v>-8099</v>
      </c>
      <c r="J307">
        <v>1</v>
      </c>
      <c r="K307" t="s">
        <v>23</v>
      </c>
      <c r="L307">
        <v>10700040</v>
      </c>
      <c r="M307" t="s">
        <v>65</v>
      </c>
      <c r="N307">
        <v>33000</v>
      </c>
      <c r="O307" t="s">
        <v>30</v>
      </c>
      <c r="P307" t="s">
        <v>527</v>
      </c>
      <c r="Q307" t="s">
        <v>31</v>
      </c>
      <c r="R307">
        <v>164500</v>
      </c>
      <c r="S307" t="s">
        <v>63</v>
      </c>
      <c r="T307">
        <v>1</v>
      </c>
      <c r="U307">
        <v>0</v>
      </c>
      <c r="V307">
        <v>0</v>
      </c>
      <c r="W307">
        <v>0</v>
      </c>
      <c r="X307">
        <v>0</v>
      </c>
      <c r="Y307" s="2">
        <v>-63476.27</v>
      </c>
      <c r="Z307" s="2">
        <v>63477.27</v>
      </c>
      <c r="AA307">
        <v>0</v>
      </c>
    </row>
    <row r="308" spans="1:27" x14ac:dyDescent="0.35">
      <c r="A308">
        <v>3113</v>
      </c>
      <c r="B308">
        <v>0</v>
      </c>
      <c r="C308" s="1">
        <v>41578</v>
      </c>
      <c r="D308">
        <v>1</v>
      </c>
      <c r="E308" t="s">
        <v>389</v>
      </c>
      <c r="F308" t="s">
        <v>416</v>
      </c>
      <c r="G308" s="1">
        <v>41548</v>
      </c>
      <c r="H308" s="2">
        <v>22250</v>
      </c>
      <c r="I308" s="2">
        <f t="shared" si="4"/>
        <v>-22249</v>
      </c>
      <c r="J308">
        <v>1</v>
      </c>
      <c r="K308" t="s">
        <v>23</v>
      </c>
      <c r="L308">
        <v>10700040</v>
      </c>
      <c r="M308" t="s">
        <v>65</v>
      </c>
      <c r="N308">
        <v>33000</v>
      </c>
      <c r="O308" t="s">
        <v>30</v>
      </c>
      <c r="P308" t="s">
        <v>527</v>
      </c>
      <c r="Q308" t="s">
        <v>31</v>
      </c>
      <c r="R308">
        <v>164500</v>
      </c>
      <c r="S308" t="s">
        <v>63</v>
      </c>
      <c r="T308">
        <v>1</v>
      </c>
      <c r="U308">
        <v>0</v>
      </c>
      <c r="V308">
        <v>0</v>
      </c>
      <c r="W308">
        <v>0</v>
      </c>
      <c r="X308">
        <v>0</v>
      </c>
      <c r="Y308" s="2">
        <v>-12511.73</v>
      </c>
      <c r="Z308" s="2">
        <v>12512.73</v>
      </c>
      <c r="AA308">
        <v>0</v>
      </c>
    </row>
    <row r="309" spans="1:27" x14ac:dyDescent="0.35">
      <c r="A309">
        <v>3124</v>
      </c>
      <c r="B309">
        <v>0</v>
      </c>
      <c r="C309" s="1">
        <v>41608</v>
      </c>
      <c r="D309">
        <v>1</v>
      </c>
      <c r="E309" t="s">
        <v>334</v>
      </c>
      <c r="F309" t="s">
        <v>419</v>
      </c>
      <c r="G309" s="1">
        <v>41609</v>
      </c>
      <c r="H309" s="2">
        <v>70785.52</v>
      </c>
      <c r="I309" s="2">
        <f t="shared" si="4"/>
        <v>-70784.52</v>
      </c>
      <c r="J309">
        <v>1</v>
      </c>
      <c r="K309" t="s">
        <v>23</v>
      </c>
      <c r="L309">
        <v>10700040</v>
      </c>
      <c r="M309" t="s">
        <v>65</v>
      </c>
      <c r="N309">
        <v>33000</v>
      </c>
      <c r="O309" t="s">
        <v>30</v>
      </c>
      <c r="P309" t="s">
        <v>527</v>
      </c>
      <c r="Q309" t="s">
        <v>31</v>
      </c>
      <c r="R309">
        <v>164500</v>
      </c>
      <c r="S309" t="s">
        <v>63</v>
      </c>
      <c r="T309">
        <v>1</v>
      </c>
      <c r="U309">
        <v>0</v>
      </c>
      <c r="V309">
        <v>0</v>
      </c>
      <c r="W309">
        <v>0</v>
      </c>
      <c r="X309">
        <v>0</v>
      </c>
      <c r="Y309" s="2">
        <v>-41130.46</v>
      </c>
      <c r="Z309" s="2">
        <v>41131.46</v>
      </c>
      <c r="AA309">
        <v>0</v>
      </c>
    </row>
    <row r="310" spans="1:27" x14ac:dyDescent="0.35">
      <c r="A310">
        <v>3125</v>
      </c>
      <c r="B310">
        <v>0</v>
      </c>
      <c r="C310" s="1">
        <v>41608</v>
      </c>
      <c r="D310">
        <v>1</v>
      </c>
      <c r="E310" t="s">
        <v>334</v>
      </c>
      <c r="F310" t="s">
        <v>419</v>
      </c>
      <c r="G310" s="1">
        <v>41609</v>
      </c>
      <c r="H310" s="2">
        <v>70785.52</v>
      </c>
      <c r="I310" s="2">
        <f t="shared" si="4"/>
        <v>-70784.52</v>
      </c>
      <c r="J310">
        <v>1</v>
      </c>
      <c r="K310" t="s">
        <v>23</v>
      </c>
      <c r="L310">
        <v>10700040</v>
      </c>
      <c r="M310" t="s">
        <v>65</v>
      </c>
      <c r="N310">
        <v>33000</v>
      </c>
      <c r="O310" t="s">
        <v>30</v>
      </c>
      <c r="P310" t="s">
        <v>527</v>
      </c>
      <c r="Q310" t="s">
        <v>31</v>
      </c>
      <c r="R310">
        <v>164500</v>
      </c>
      <c r="S310" t="s">
        <v>63</v>
      </c>
      <c r="T310">
        <v>1</v>
      </c>
      <c r="U310">
        <v>0</v>
      </c>
      <c r="V310">
        <v>0</v>
      </c>
      <c r="W310">
        <v>0</v>
      </c>
      <c r="X310">
        <v>0</v>
      </c>
      <c r="Y310" s="2">
        <v>-5449</v>
      </c>
      <c r="Z310" s="2">
        <v>5450</v>
      </c>
      <c r="AA310">
        <v>0</v>
      </c>
    </row>
    <row r="311" spans="1:27" x14ac:dyDescent="0.35">
      <c r="A311">
        <v>3268</v>
      </c>
      <c r="B311">
        <v>0</v>
      </c>
      <c r="C311" s="1">
        <v>41912</v>
      </c>
      <c r="D311">
        <v>1</v>
      </c>
      <c r="E311" t="s">
        <v>334</v>
      </c>
      <c r="F311" t="s">
        <v>432</v>
      </c>
      <c r="G311" s="1">
        <v>41913</v>
      </c>
      <c r="H311" s="2">
        <v>17000</v>
      </c>
      <c r="I311" s="2">
        <f t="shared" si="4"/>
        <v>-16999</v>
      </c>
      <c r="J311">
        <v>1</v>
      </c>
      <c r="K311" t="s">
        <v>23</v>
      </c>
      <c r="L311">
        <v>10700040</v>
      </c>
      <c r="M311" t="s">
        <v>65</v>
      </c>
      <c r="N311">
        <v>33000</v>
      </c>
      <c r="O311" t="s">
        <v>30</v>
      </c>
      <c r="P311" t="s">
        <v>527</v>
      </c>
      <c r="Q311" t="s">
        <v>31</v>
      </c>
      <c r="R311">
        <v>164500</v>
      </c>
      <c r="S311" t="s">
        <v>63</v>
      </c>
      <c r="T311">
        <v>1</v>
      </c>
      <c r="U311">
        <v>0</v>
      </c>
      <c r="V311">
        <v>0</v>
      </c>
      <c r="W311">
        <v>0</v>
      </c>
      <c r="X311">
        <v>0</v>
      </c>
      <c r="Y311" s="2">
        <v>-20564.73</v>
      </c>
      <c r="Z311" s="2">
        <v>20565.73</v>
      </c>
      <c r="AA311">
        <v>0</v>
      </c>
    </row>
    <row r="312" spans="1:27" x14ac:dyDescent="0.35">
      <c r="A312">
        <v>3290</v>
      </c>
      <c r="B312">
        <v>0</v>
      </c>
      <c r="C312" s="1">
        <v>41943</v>
      </c>
      <c r="D312">
        <v>1</v>
      </c>
      <c r="E312" t="s">
        <v>334</v>
      </c>
      <c r="F312" t="s">
        <v>435</v>
      </c>
      <c r="G312" s="1">
        <v>41883</v>
      </c>
      <c r="H312" s="2">
        <v>307700</v>
      </c>
      <c r="I312" s="2">
        <f t="shared" si="4"/>
        <v>-307699</v>
      </c>
      <c r="J312">
        <v>1</v>
      </c>
      <c r="K312" t="s">
        <v>23</v>
      </c>
      <c r="L312">
        <v>10700040</v>
      </c>
      <c r="M312" t="s">
        <v>65</v>
      </c>
      <c r="N312">
        <v>33000</v>
      </c>
      <c r="O312" t="s">
        <v>30</v>
      </c>
      <c r="P312" t="s">
        <v>527</v>
      </c>
      <c r="Q312" t="s">
        <v>31</v>
      </c>
      <c r="R312">
        <v>164500</v>
      </c>
      <c r="S312" t="s">
        <v>63</v>
      </c>
      <c r="T312">
        <v>1</v>
      </c>
      <c r="U312">
        <v>0</v>
      </c>
      <c r="V312">
        <v>0</v>
      </c>
      <c r="W312">
        <v>0</v>
      </c>
      <c r="X312">
        <v>0</v>
      </c>
      <c r="Y312" s="2">
        <v>-10899</v>
      </c>
      <c r="Z312" s="2">
        <v>10900</v>
      </c>
      <c r="AA312">
        <v>0</v>
      </c>
    </row>
    <row r="313" spans="1:27" x14ac:dyDescent="0.35">
      <c r="A313">
        <v>3318</v>
      </c>
      <c r="B313">
        <v>0</v>
      </c>
      <c r="C313" s="1">
        <v>42004</v>
      </c>
      <c r="D313">
        <v>1</v>
      </c>
      <c r="E313" t="s">
        <v>334</v>
      </c>
      <c r="F313" t="s">
        <v>440</v>
      </c>
      <c r="G313" s="1">
        <v>41974</v>
      </c>
      <c r="H313" s="2">
        <v>78571</v>
      </c>
      <c r="I313" s="2">
        <f t="shared" si="4"/>
        <v>-78570</v>
      </c>
      <c r="J313">
        <v>1</v>
      </c>
      <c r="K313" t="s">
        <v>23</v>
      </c>
      <c r="L313">
        <v>10700040</v>
      </c>
      <c r="M313" t="s">
        <v>65</v>
      </c>
      <c r="N313">
        <v>33000</v>
      </c>
      <c r="O313" t="s">
        <v>30</v>
      </c>
      <c r="P313" t="s">
        <v>527</v>
      </c>
      <c r="Q313" t="s">
        <v>31</v>
      </c>
      <c r="R313">
        <v>164500</v>
      </c>
      <c r="S313" t="s">
        <v>63</v>
      </c>
      <c r="T313">
        <v>1</v>
      </c>
      <c r="U313">
        <v>0</v>
      </c>
      <c r="V313">
        <v>0</v>
      </c>
      <c r="W313">
        <v>0</v>
      </c>
      <c r="X313">
        <v>0</v>
      </c>
      <c r="Y313" s="2">
        <v>-26662.639999999999</v>
      </c>
      <c r="Z313" s="2">
        <v>26663.64</v>
      </c>
      <c r="AA313">
        <v>0</v>
      </c>
    </row>
    <row r="314" spans="1:27" x14ac:dyDescent="0.35">
      <c r="A314">
        <v>3349</v>
      </c>
      <c r="B314">
        <v>0</v>
      </c>
      <c r="C314" s="1">
        <v>42094</v>
      </c>
      <c r="D314">
        <v>1</v>
      </c>
      <c r="E314" t="s">
        <v>389</v>
      </c>
      <c r="F314" t="s">
        <v>445</v>
      </c>
      <c r="G314" s="1">
        <v>42064</v>
      </c>
      <c r="H314" s="2">
        <v>42850</v>
      </c>
      <c r="I314" s="2">
        <f t="shared" si="4"/>
        <v>-42849</v>
      </c>
      <c r="J314">
        <v>1</v>
      </c>
      <c r="K314" t="s">
        <v>23</v>
      </c>
      <c r="L314">
        <v>10700040</v>
      </c>
      <c r="M314" t="s">
        <v>65</v>
      </c>
      <c r="N314">
        <v>33000</v>
      </c>
      <c r="O314" t="s">
        <v>30</v>
      </c>
      <c r="P314" t="s">
        <v>527</v>
      </c>
      <c r="Q314" t="s">
        <v>31</v>
      </c>
      <c r="R314">
        <v>164500</v>
      </c>
      <c r="S314" t="s">
        <v>63</v>
      </c>
      <c r="T314">
        <v>1</v>
      </c>
      <c r="U314">
        <v>0</v>
      </c>
      <c r="V314">
        <v>0</v>
      </c>
      <c r="W314">
        <v>0</v>
      </c>
      <c r="X314">
        <v>0</v>
      </c>
      <c r="Y314" s="2">
        <v>-31817.18</v>
      </c>
      <c r="Z314" s="2">
        <v>31818.18</v>
      </c>
      <c r="AA314">
        <v>0</v>
      </c>
    </row>
    <row r="315" spans="1:27" x14ac:dyDescent="0.35">
      <c r="A315">
        <v>3350</v>
      </c>
      <c r="B315">
        <v>0</v>
      </c>
      <c r="C315" s="1">
        <v>42094</v>
      </c>
      <c r="D315">
        <v>1</v>
      </c>
      <c r="E315" t="s">
        <v>389</v>
      </c>
      <c r="F315" t="s">
        <v>445</v>
      </c>
      <c r="G315" s="1">
        <v>42064</v>
      </c>
      <c r="H315" s="2">
        <v>42850</v>
      </c>
      <c r="I315" s="2">
        <f t="shared" si="4"/>
        <v>-42849</v>
      </c>
      <c r="J315">
        <v>1</v>
      </c>
      <c r="K315" t="s">
        <v>23</v>
      </c>
      <c r="L315">
        <v>10700040</v>
      </c>
      <c r="M315" t="s">
        <v>65</v>
      </c>
      <c r="N315">
        <v>33000</v>
      </c>
      <c r="O315" t="s">
        <v>30</v>
      </c>
      <c r="P315" t="s">
        <v>527</v>
      </c>
      <c r="Q315" t="s">
        <v>31</v>
      </c>
      <c r="R315">
        <v>164500</v>
      </c>
      <c r="S315" t="s">
        <v>63</v>
      </c>
      <c r="T315">
        <v>0</v>
      </c>
      <c r="U315">
        <v>0</v>
      </c>
      <c r="V315">
        <v>0</v>
      </c>
      <c r="W315">
        <v>0</v>
      </c>
      <c r="X315">
        <v>0</v>
      </c>
      <c r="Y315" s="2">
        <v>-870845.11</v>
      </c>
      <c r="Z315" s="2">
        <v>870845.11</v>
      </c>
      <c r="AA315">
        <v>0</v>
      </c>
    </row>
    <row r="316" spans="1:27" x14ac:dyDescent="0.35">
      <c r="A316">
        <v>3351</v>
      </c>
      <c r="B316">
        <v>0</v>
      </c>
      <c r="C316" s="1">
        <v>42094</v>
      </c>
      <c r="D316">
        <v>1</v>
      </c>
      <c r="E316" t="s">
        <v>389</v>
      </c>
      <c r="F316" t="s">
        <v>445</v>
      </c>
      <c r="G316" s="1">
        <v>42064</v>
      </c>
      <c r="H316" s="2">
        <v>42850</v>
      </c>
      <c r="I316" s="2">
        <f t="shared" si="4"/>
        <v>-42849</v>
      </c>
      <c r="J316">
        <v>1</v>
      </c>
      <c r="K316" t="s">
        <v>23</v>
      </c>
      <c r="L316">
        <v>10700040</v>
      </c>
      <c r="M316" t="s">
        <v>65</v>
      </c>
      <c r="N316">
        <v>33000</v>
      </c>
      <c r="O316" t="s">
        <v>30</v>
      </c>
      <c r="P316" t="s">
        <v>527</v>
      </c>
      <c r="Q316" t="s">
        <v>31</v>
      </c>
      <c r="R316">
        <v>164500</v>
      </c>
      <c r="S316" t="s">
        <v>63</v>
      </c>
      <c r="T316">
        <v>1</v>
      </c>
      <c r="U316">
        <v>0</v>
      </c>
      <c r="V316">
        <v>0</v>
      </c>
      <c r="W316">
        <v>0</v>
      </c>
      <c r="X316">
        <v>0</v>
      </c>
      <c r="Y316" s="2">
        <v>-8121.73</v>
      </c>
      <c r="Z316" s="2">
        <v>8122.73</v>
      </c>
      <c r="AA316">
        <v>0</v>
      </c>
    </row>
    <row r="317" spans="1:27" x14ac:dyDescent="0.35">
      <c r="A317">
        <v>3352</v>
      </c>
      <c r="B317">
        <v>0</v>
      </c>
      <c r="C317" s="1">
        <v>42094</v>
      </c>
      <c r="D317">
        <v>1</v>
      </c>
      <c r="E317" t="s">
        <v>389</v>
      </c>
      <c r="F317" t="s">
        <v>446</v>
      </c>
      <c r="G317" s="1">
        <v>42064</v>
      </c>
      <c r="H317" s="2">
        <v>12800</v>
      </c>
      <c r="I317" s="2">
        <f t="shared" si="4"/>
        <v>-12799</v>
      </c>
      <c r="J317">
        <v>1</v>
      </c>
      <c r="K317" t="s">
        <v>23</v>
      </c>
      <c r="L317">
        <v>10700040</v>
      </c>
      <c r="M317" t="s">
        <v>65</v>
      </c>
      <c r="N317">
        <v>33000</v>
      </c>
      <c r="O317" t="s">
        <v>30</v>
      </c>
      <c r="P317" t="s">
        <v>527</v>
      </c>
      <c r="Q317" t="s">
        <v>31</v>
      </c>
      <c r="R317">
        <v>164500</v>
      </c>
      <c r="S317" t="s">
        <v>63</v>
      </c>
      <c r="T317">
        <v>1</v>
      </c>
      <c r="U317">
        <v>0</v>
      </c>
      <c r="V317">
        <v>0</v>
      </c>
      <c r="W317">
        <v>0</v>
      </c>
      <c r="X317">
        <v>0</v>
      </c>
      <c r="Y317" s="2">
        <v>-43377.18</v>
      </c>
      <c r="Z317" s="2">
        <v>43378.18</v>
      </c>
      <c r="AA317">
        <v>0</v>
      </c>
    </row>
    <row r="318" spans="1:27" x14ac:dyDescent="0.35">
      <c r="A318">
        <v>3353</v>
      </c>
      <c r="B318">
        <v>0</v>
      </c>
      <c r="C318" s="1">
        <v>42094</v>
      </c>
      <c r="D318">
        <v>1</v>
      </c>
      <c r="E318" t="s">
        <v>389</v>
      </c>
      <c r="F318" t="s">
        <v>446</v>
      </c>
      <c r="G318" s="1">
        <v>42064</v>
      </c>
      <c r="H318" s="2">
        <v>12800</v>
      </c>
      <c r="I318" s="2">
        <f t="shared" si="4"/>
        <v>-12799</v>
      </c>
      <c r="J318">
        <v>1</v>
      </c>
      <c r="K318" t="s">
        <v>23</v>
      </c>
      <c r="L318">
        <v>10700040</v>
      </c>
      <c r="M318" t="s">
        <v>65</v>
      </c>
      <c r="N318">
        <v>33000</v>
      </c>
      <c r="O318" t="s">
        <v>30</v>
      </c>
      <c r="P318" t="s">
        <v>527</v>
      </c>
      <c r="Q318" t="s">
        <v>31</v>
      </c>
      <c r="R318">
        <v>164500</v>
      </c>
      <c r="S318" t="s">
        <v>63</v>
      </c>
      <c r="T318">
        <v>1</v>
      </c>
      <c r="U318">
        <v>0</v>
      </c>
      <c r="V318">
        <v>0</v>
      </c>
      <c r="W318">
        <v>0</v>
      </c>
      <c r="X318">
        <v>0</v>
      </c>
      <c r="Y318" s="2">
        <v>-48224.45</v>
      </c>
      <c r="Z318" s="2">
        <v>48225.45</v>
      </c>
      <c r="AA318">
        <v>0</v>
      </c>
    </row>
    <row r="319" spans="1:27" x14ac:dyDescent="0.35">
      <c r="A319">
        <v>3354</v>
      </c>
      <c r="B319">
        <v>0</v>
      </c>
      <c r="C319" s="1">
        <v>42094</v>
      </c>
      <c r="D319">
        <v>1</v>
      </c>
      <c r="E319" t="s">
        <v>389</v>
      </c>
      <c r="F319" t="s">
        <v>446</v>
      </c>
      <c r="G319" s="1">
        <v>42064</v>
      </c>
      <c r="H319" s="2">
        <v>12800</v>
      </c>
      <c r="I319" s="2">
        <f t="shared" si="4"/>
        <v>-12799</v>
      </c>
      <c r="J319">
        <v>1</v>
      </c>
      <c r="K319" t="s">
        <v>23</v>
      </c>
      <c r="L319">
        <v>10700040</v>
      </c>
      <c r="M319" t="s">
        <v>65</v>
      </c>
      <c r="N319">
        <v>33000</v>
      </c>
      <c r="O319" t="s">
        <v>30</v>
      </c>
      <c r="P319" t="s">
        <v>527</v>
      </c>
      <c r="Q319" t="s">
        <v>31</v>
      </c>
      <c r="R319">
        <v>164500</v>
      </c>
      <c r="S319" t="s">
        <v>63</v>
      </c>
      <c r="T319">
        <v>1</v>
      </c>
      <c r="U319">
        <v>0</v>
      </c>
      <c r="V319">
        <v>0</v>
      </c>
      <c r="W319">
        <v>0</v>
      </c>
      <c r="X319">
        <v>0</v>
      </c>
      <c r="Y319" s="2">
        <v>-38635.360000000001</v>
      </c>
      <c r="Z319" s="2">
        <v>38636.36</v>
      </c>
      <c r="AA319">
        <v>0</v>
      </c>
    </row>
    <row r="320" spans="1:27" x14ac:dyDescent="0.35">
      <c r="A320">
        <v>3355</v>
      </c>
      <c r="B320">
        <v>0</v>
      </c>
      <c r="C320" s="1">
        <v>42094</v>
      </c>
      <c r="D320">
        <v>1</v>
      </c>
      <c r="E320" t="s">
        <v>389</v>
      </c>
      <c r="F320" t="s">
        <v>446</v>
      </c>
      <c r="G320" s="1">
        <v>42064</v>
      </c>
      <c r="H320" s="2">
        <v>12800</v>
      </c>
      <c r="I320" s="2">
        <f t="shared" si="4"/>
        <v>-12799</v>
      </c>
      <c r="J320">
        <v>1</v>
      </c>
      <c r="K320" t="s">
        <v>23</v>
      </c>
      <c r="L320">
        <v>10700040</v>
      </c>
      <c r="M320" t="s">
        <v>65</v>
      </c>
      <c r="N320">
        <v>33000</v>
      </c>
      <c r="O320" t="s">
        <v>30</v>
      </c>
      <c r="P320" t="s">
        <v>527</v>
      </c>
      <c r="Q320" t="s">
        <v>31</v>
      </c>
      <c r="R320">
        <v>164500</v>
      </c>
      <c r="S320" t="s">
        <v>63</v>
      </c>
      <c r="T320">
        <v>1</v>
      </c>
      <c r="U320">
        <v>0</v>
      </c>
      <c r="V320">
        <v>0</v>
      </c>
      <c r="W320">
        <v>0</v>
      </c>
      <c r="X320">
        <v>0</v>
      </c>
      <c r="Y320" s="2">
        <v>-7853.55</v>
      </c>
      <c r="Z320" s="2">
        <v>7854.55</v>
      </c>
      <c r="AA320">
        <v>0</v>
      </c>
    </row>
    <row r="321" spans="1:27" x14ac:dyDescent="0.35">
      <c r="A321">
        <v>3356</v>
      </c>
      <c r="B321">
        <v>0</v>
      </c>
      <c r="C321" s="1">
        <v>42094</v>
      </c>
      <c r="D321">
        <v>1</v>
      </c>
      <c r="E321" t="s">
        <v>389</v>
      </c>
      <c r="F321" t="s">
        <v>446</v>
      </c>
      <c r="G321" s="1">
        <v>42064</v>
      </c>
      <c r="H321" s="2">
        <v>12800</v>
      </c>
      <c r="I321" s="2">
        <f t="shared" si="4"/>
        <v>-12799</v>
      </c>
      <c r="J321">
        <v>1</v>
      </c>
      <c r="K321" t="s">
        <v>23</v>
      </c>
      <c r="L321">
        <v>10700040</v>
      </c>
      <c r="M321" t="s">
        <v>65</v>
      </c>
      <c r="N321">
        <v>33000</v>
      </c>
      <c r="O321" t="s">
        <v>30</v>
      </c>
      <c r="P321" t="s">
        <v>527</v>
      </c>
      <c r="Q321" t="s">
        <v>31</v>
      </c>
      <c r="R321">
        <v>164500</v>
      </c>
      <c r="S321" t="s">
        <v>63</v>
      </c>
      <c r="T321">
        <v>1</v>
      </c>
      <c r="U321">
        <v>0</v>
      </c>
      <c r="V321">
        <v>0</v>
      </c>
      <c r="W321">
        <v>0</v>
      </c>
      <c r="X321">
        <v>0</v>
      </c>
      <c r="Y321" s="2">
        <v>-18908.09</v>
      </c>
      <c r="Z321" s="2">
        <v>18909.09</v>
      </c>
      <c r="AA321">
        <v>0</v>
      </c>
    </row>
    <row r="322" spans="1:27" x14ac:dyDescent="0.35">
      <c r="A322">
        <v>3357</v>
      </c>
      <c r="B322">
        <v>0</v>
      </c>
      <c r="C322" s="1">
        <v>42094</v>
      </c>
      <c r="D322">
        <v>1</v>
      </c>
      <c r="E322" t="s">
        <v>389</v>
      </c>
      <c r="F322" t="s">
        <v>446</v>
      </c>
      <c r="G322" s="1">
        <v>42064</v>
      </c>
      <c r="H322" s="2">
        <v>12800</v>
      </c>
      <c r="I322" s="2">
        <f t="shared" ref="I322:I385" si="5">J322-H322</f>
        <v>-12799</v>
      </c>
      <c r="J322">
        <v>1</v>
      </c>
      <c r="K322" t="s">
        <v>23</v>
      </c>
      <c r="L322">
        <v>10700040</v>
      </c>
      <c r="M322" t="s">
        <v>65</v>
      </c>
      <c r="N322">
        <v>33000</v>
      </c>
      <c r="O322" t="s">
        <v>30</v>
      </c>
      <c r="P322" t="s">
        <v>527</v>
      </c>
      <c r="Q322" t="s">
        <v>31</v>
      </c>
      <c r="R322">
        <v>164500</v>
      </c>
      <c r="S322" t="s">
        <v>63</v>
      </c>
      <c r="T322">
        <v>1</v>
      </c>
      <c r="U322">
        <v>0</v>
      </c>
      <c r="V322">
        <v>0</v>
      </c>
      <c r="W322">
        <v>0</v>
      </c>
      <c r="X322">
        <v>0</v>
      </c>
      <c r="Y322" s="2">
        <v>-24999</v>
      </c>
      <c r="Z322" s="2">
        <v>25000</v>
      </c>
      <c r="AA322">
        <v>0</v>
      </c>
    </row>
    <row r="323" spans="1:27" x14ac:dyDescent="0.35">
      <c r="A323">
        <v>3358</v>
      </c>
      <c r="B323">
        <v>0</v>
      </c>
      <c r="C323" s="1">
        <v>42094</v>
      </c>
      <c r="D323">
        <v>1</v>
      </c>
      <c r="E323" t="s">
        <v>389</v>
      </c>
      <c r="F323" t="s">
        <v>446</v>
      </c>
      <c r="G323" s="1">
        <v>42064</v>
      </c>
      <c r="H323" s="2">
        <v>12800</v>
      </c>
      <c r="I323" s="2">
        <f t="shared" si="5"/>
        <v>-12799</v>
      </c>
      <c r="J323">
        <v>1</v>
      </c>
      <c r="K323" t="s">
        <v>23</v>
      </c>
      <c r="L323">
        <v>10700040</v>
      </c>
      <c r="M323" t="s">
        <v>65</v>
      </c>
      <c r="N323">
        <v>33000</v>
      </c>
      <c r="O323" t="s">
        <v>30</v>
      </c>
      <c r="P323" t="s">
        <v>527</v>
      </c>
      <c r="Q323" t="s">
        <v>31</v>
      </c>
      <c r="R323">
        <v>164500</v>
      </c>
      <c r="S323" t="s">
        <v>63</v>
      </c>
      <c r="T323">
        <v>1</v>
      </c>
      <c r="U323">
        <v>0</v>
      </c>
      <c r="V323">
        <v>0</v>
      </c>
      <c r="W323">
        <v>0</v>
      </c>
      <c r="X323">
        <v>0</v>
      </c>
      <c r="Y323" s="2">
        <v>-28627.13</v>
      </c>
      <c r="Z323" s="2">
        <v>28628.13</v>
      </c>
      <c r="AA323">
        <v>0</v>
      </c>
    </row>
    <row r="324" spans="1:27" x14ac:dyDescent="0.35">
      <c r="A324">
        <v>3359</v>
      </c>
      <c r="B324">
        <v>0</v>
      </c>
      <c r="C324" s="1">
        <v>42094</v>
      </c>
      <c r="D324">
        <v>1</v>
      </c>
      <c r="E324" t="s">
        <v>389</v>
      </c>
      <c r="F324" t="s">
        <v>446</v>
      </c>
      <c r="G324" s="1">
        <v>42064</v>
      </c>
      <c r="H324" s="2">
        <v>12800</v>
      </c>
      <c r="I324" s="2">
        <f t="shared" si="5"/>
        <v>-12799</v>
      </c>
      <c r="J324">
        <v>1</v>
      </c>
      <c r="K324" t="s">
        <v>23</v>
      </c>
      <c r="L324">
        <v>10700040</v>
      </c>
      <c r="M324" t="s">
        <v>65</v>
      </c>
      <c r="N324">
        <v>33000</v>
      </c>
      <c r="O324" t="s">
        <v>30</v>
      </c>
      <c r="P324" t="s">
        <v>527</v>
      </c>
      <c r="Q324" t="s">
        <v>31</v>
      </c>
      <c r="R324">
        <v>164500</v>
      </c>
      <c r="S324" t="s">
        <v>63</v>
      </c>
      <c r="T324">
        <v>1</v>
      </c>
      <c r="U324">
        <v>0</v>
      </c>
      <c r="V324">
        <v>0</v>
      </c>
      <c r="W324">
        <v>0</v>
      </c>
      <c r="X324">
        <v>0</v>
      </c>
      <c r="Y324" s="2">
        <v>-75891.86</v>
      </c>
      <c r="Z324" s="2">
        <v>75892.86</v>
      </c>
      <c r="AA324">
        <v>0</v>
      </c>
    </row>
    <row r="325" spans="1:27" x14ac:dyDescent="0.35">
      <c r="A325">
        <v>3364</v>
      </c>
      <c r="B325">
        <v>0</v>
      </c>
      <c r="C325" s="1">
        <v>42094</v>
      </c>
      <c r="D325">
        <v>1</v>
      </c>
      <c r="E325" t="s">
        <v>389</v>
      </c>
      <c r="F325" t="s">
        <v>445</v>
      </c>
      <c r="G325" s="1">
        <v>42095</v>
      </c>
      <c r="H325" s="2">
        <v>42850</v>
      </c>
      <c r="I325" s="2">
        <f t="shared" si="5"/>
        <v>-42849</v>
      </c>
      <c r="J325">
        <v>1</v>
      </c>
      <c r="K325" t="s">
        <v>23</v>
      </c>
      <c r="L325">
        <v>10700040</v>
      </c>
      <c r="M325" t="s">
        <v>65</v>
      </c>
      <c r="N325">
        <v>33000</v>
      </c>
      <c r="O325" t="s">
        <v>30</v>
      </c>
      <c r="P325" t="s">
        <v>527</v>
      </c>
      <c r="Q325" t="s">
        <v>31</v>
      </c>
      <c r="R325">
        <v>164500</v>
      </c>
      <c r="S325" t="s">
        <v>63</v>
      </c>
      <c r="T325">
        <v>1</v>
      </c>
      <c r="U325">
        <v>0</v>
      </c>
      <c r="V325">
        <v>0</v>
      </c>
      <c r="W325">
        <v>0</v>
      </c>
      <c r="X325">
        <v>0</v>
      </c>
      <c r="Y325" s="2">
        <v>-18570.43</v>
      </c>
      <c r="Z325" s="2">
        <v>18571.43</v>
      </c>
      <c r="AA325">
        <v>0</v>
      </c>
    </row>
    <row r="326" spans="1:27" x14ac:dyDescent="0.35">
      <c r="A326">
        <v>3365</v>
      </c>
      <c r="B326">
        <v>0</v>
      </c>
      <c r="C326" s="1">
        <v>42094</v>
      </c>
      <c r="D326">
        <v>1</v>
      </c>
      <c r="E326" t="s">
        <v>389</v>
      </c>
      <c r="F326" t="s">
        <v>445</v>
      </c>
      <c r="G326" s="1">
        <v>42095</v>
      </c>
      <c r="H326" s="2">
        <v>42850</v>
      </c>
      <c r="I326" s="2">
        <f t="shared" si="5"/>
        <v>-42849</v>
      </c>
      <c r="J326">
        <v>1</v>
      </c>
      <c r="K326" t="s">
        <v>23</v>
      </c>
      <c r="L326">
        <v>10700040</v>
      </c>
      <c r="M326" t="s">
        <v>65</v>
      </c>
      <c r="N326">
        <v>33000</v>
      </c>
      <c r="O326" t="s">
        <v>30</v>
      </c>
      <c r="P326" t="s">
        <v>527</v>
      </c>
      <c r="Q326" t="s">
        <v>31</v>
      </c>
      <c r="R326">
        <v>164500</v>
      </c>
      <c r="S326" t="s">
        <v>63</v>
      </c>
      <c r="T326">
        <v>1</v>
      </c>
      <c r="U326">
        <v>0</v>
      </c>
      <c r="V326">
        <v>0</v>
      </c>
      <c r="W326">
        <v>0</v>
      </c>
      <c r="X326">
        <v>0</v>
      </c>
      <c r="Y326" s="2">
        <v>-450865.89</v>
      </c>
      <c r="Z326" s="2">
        <v>450866.89</v>
      </c>
      <c r="AA326">
        <v>0</v>
      </c>
    </row>
    <row r="327" spans="1:27" x14ac:dyDescent="0.35">
      <c r="A327">
        <v>3386</v>
      </c>
      <c r="B327">
        <v>0</v>
      </c>
      <c r="C327" s="1">
        <v>42155</v>
      </c>
      <c r="D327">
        <v>1</v>
      </c>
      <c r="E327" t="s">
        <v>334</v>
      </c>
      <c r="F327" t="s">
        <v>450</v>
      </c>
      <c r="G327" s="1">
        <v>42125</v>
      </c>
      <c r="H327" s="2">
        <v>17000</v>
      </c>
      <c r="I327" s="2">
        <f t="shared" si="5"/>
        <v>-16999</v>
      </c>
      <c r="J327">
        <v>1</v>
      </c>
      <c r="K327" t="s">
        <v>23</v>
      </c>
      <c r="L327">
        <v>10700040</v>
      </c>
      <c r="M327" t="s">
        <v>65</v>
      </c>
      <c r="N327">
        <v>33000</v>
      </c>
      <c r="O327" t="s">
        <v>30</v>
      </c>
      <c r="P327" t="s">
        <v>527</v>
      </c>
      <c r="Q327" t="s">
        <v>31</v>
      </c>
      <c r="R327">
        <v>164500</v>
      </c>
      <c r="S327" t="s">
        <v>63</v>
      </c>
      <c r="T327">
        <v>1</v>
      </c>
      <c r="U327">
        <v>0</v>
      </c>
      <c r="V327">
        <v>0</v>
      </c>
      <c r="W327">
        <v>0</v>
      </c>
      <c r="X327">
        <v>0</v>
      </c>
      <c r="Y327" s="2">
        <v>-30356.14</v>
      </c>
      <c r="Z327" s="2">
        <v>30357.14</v>
      </c>
      <c r="AA327">
        <v>0</v>
      </c>
    </row>
    <row r="328" spans="1:27" x14ac:dyDescent="0.35">
      <c r="A328">
        <v>3387</v>
      </c>
      <c r="B328">
        <v>0</v>
      </c>
      <c r="C328" s="1">
        <v>42155</v>
      </c>
      <c r="D328">
        <v>1</v>
      </c>
      <c r="E328" t="s">
        <v>334</v>
      </c>
      <c r="F328" t="s">
        <v>450</v>
      </c>
      <c r="G328" s="1">
        <v>42125</v>
      </c>
      <c r="H328" s="2">
        <v>17000</v>
      </c>
      <c r="I328" s="2">
        <f t="shared" si="5"/>
        <v>-16999</v>
      </c>
      <c r="J328">
        <v>1</v>
      </c>
      <c r="K328" t="s">
        <v>23</v>
      </c>
      <c r="L328">
        <v>10700040</v>
      </c>
      <c r="M328" t="s">
        <v>65</v>
      </c>
      <c r="N328">
        <v>33000</v>
      </c>
      <c r="O328" t="s">
        <v>30</v>
      </c>
      <c r="P328" t="s">
        <v>527</v>
      </c>
      <c r="Q328" t="s">
        <v>31</v>
      </c>
      <c r="R328">
        <v>164500</v>
      </c>
      <c r="S328" t="s">
        <v>63</v>
      </c>
      <c r="T328">
        <v>1</v>
      </c>
      <c r="U328">
        <v>0</v>
      </c>
      <c r="V328">
        <v>0</v>
      </c>
      <c r="W328">
        <v>0</v>
      </c>
      <c r="X328">
        <v>0</v>
      </c>
      <c r="Y328" s="2">
        <v>-15499</v>
      </c>
      <c r="Z328" s="2">
        <v>15500</v>
      </c>
      <c r="AA328">
        <v>0</v>
      </c>
    </row>
    <row r="329" spans="1:27" x14ac:dyDescent="0.35">
      <c r="A329">
        <v>3406</v>
      </c>
      <c r="B329">
        <v>0</v>
      </c>
      <c r="C329" s="1">
        <v>42185</v>
      </c>
      <c r="D329">
        <v>1</v>
      </c>
      <c r="E329" t="s">
        <v>334</v>
      </c>
      <c r="F329" t="s">
        <v>456</v>
      </c>
      <c r="G329" s="1">
        <v>42156</v>
      </c>
      <c r="H329" s="2">
        <v>9199</v>
      </c>
      <c r="I329" s="2">
        <f t="shared" si="5"/>
        <v>-9198</v>
      </c>
      <c r="J329">
        <v>1</v>
      </c>
      <c r="K329" t="s">
        <v>23</v>
      </c>
      <c r="L329">
        <v>10700040</v>
      </c>
      <c r="M329" t="s">
        <v>65</v>
      </c>
      <c r="N329">
        <v>33000</v>
      </c>
      <c r="O329" t="s">
        <v>30</v>
      </c>
      <c r="P329" t="s">
        <v>527</v>
      </c>
      <c r="Q329" t="s">
        <v>31</v>
      </c>
      <c r="R329">
        <v>164500</v>
      </c>
      <c r="S329" t="s">
        <v>63</v>
      </c>
      <c r="T329">
        <v>1</v>
      </c>
      <c r="U329">
        <v>0</v>
      </c>
      <c r="V329">
        <v>0</v>
      </c>
      <c r="W329">
        <v>0</v>
      </c>
      <c r="X329">
        <v>0</v>
      </c>
      <c r="Y329" s="2">
        <v>-47799</v>
      </c>
      <c r="Z329" s="2">
        <v>47800</v>
      </c>
      <c r="AA329">
        <v>0</v>
      </c>
    </row>
    <row r="330" spans="1:27" x14ac:dyDescent="0.35">
      <c r="A330">
        <v>3407</v>
      </c>
      <c r="B330">
        <v>0</v>
      </c>
      <c r="C330" s="1">
        <v>42185</v>
      </c>
      <c r="D330">
        <v>1</v>
      </c>
      <c r="E330" t="s">
        <v>334</v>
      </c>
      <c r="F330" t="s">
        <v>456</v>
      </c>
      <c r="G330" s="1">
        <v>42156</v>
      </c>
      <c r="H330" s="2">
        <v>9199</v>
      </c>
      <c r="I330" s="2">
        <f t="shared" si="5"/>
        <v>-9198</v>
      </c>
      <c r="J330">
        <v>1</v>
      </c>
      <c r="K330" t="s">
        <v>23</v>
      </c>
      <c r="L330">
        <v>10700040</v>
      </c>
      <c r="M330" t="s">
        <v>65</v>
      </c>
      <c r="N330">
        <v>33000</v>
      </c>
      <c r="O330" t="s">
        <v>30</v>
      </c>
      <c r="P330" t="s">
        <v>527</v>
      </c>
      <c r="Q330" t="s">
        <v>31</v>
      </c>
      <c r="R330">
        <v>164500</v>
      </c>
      <c r="S330" t="s">
        <v>63</v>
      </c>
      <c r="T330">
        <v>1</v>
      </c>
      <c r="U330">
        <v>0</v>
      </c>
      <c r="V330">
        <v>0</v>
      </c>
      <c r="W330">
        <v>0</v>
      </c>
      <c r="X330">
        <v>0</v>
      </c>
      <c r="Y330" s="2">
        <v>-87524.04</v>
      </c>
      <c r="Z330" s="2">
        <v>87525.04</v>
      </c>
      <c r="AA330">
        <v>0</v>
      </c>
    </row>
    <row r="331" spans="1:27" x14ac:dyDescent="0.35">
      <c r="A331">
        <v>3408</v>
      </c>
      <c r="B331">
        <v>0</v>
      </c>
      <c r="C331" s="1">
        <v>42185</v>
      </c>
      <c r="D331">
        <v>1</v>
      </c>
      <c r="E331" t="s">
        <v>334</v>
      </c>
      <c r="F331" t="s">
        <v>456</v>
      </c>
      <c r="G331" s="1">
        <v>42156</v>
      </c>
      <c r="H331" s="2">
        <v>9199</v>
      </c>
      <c r="I331" s="2">
        <f t="shared" si="5"/>
        <v>-9198</v>
      </c>
      <c r="J331">
        <v>1</v>
      </c>
      <c r="K331" t="s">
        <v>23</v>
      </c>
      <c r="L331">
        <v>10700040</v>
      </c>
      <c r="M331" t="s">
        <v>65</v>
      </c>
      <c r="N331">
        <v>33000</v>
      </c>
      <c r="O331" t="s">
        <v>30</v>
      </c>
      <c r="P331" t="s">
        <v>527</v>
      </c>
      <c r="Q331" t="s">
        <v>31</v>
      </c>
      <c r="R331">
        <v>164500</v>
      </c>
      <c r="S331" t="s">
        <v>63</v>
      </c>
      <c r="T331">
        <v>1</v>
      </c>
      <c r="U331">
        <v>0</v>
      </c>
      <c r="V331">
        <v>0</v>
      </c>
      <c r="W331">
        <v>0</v>
      </c>
      <c r="X331">
        <v>0</v>
      </c>
      <c r="Y331" s="2">
        <v>-14204.36</v>
      </c>
      <c r="Z331" s="2">
        <v>14205.36</v>
      </c>
      <c r="AA331">
        <v>0</v>
      </c>
    </row>
    <row r="332" spans="1:27" x14ac:dyDescent="0.35">
      <c r="A332">
        <v>3457</v>
      </c>
      <c r="B332">
        <v>0</v>
      </c>
      <c r="C332" s="1">
        <v>42247</v>
      </c>
      <c r="D332">
        <v>1</v>
      </c>
      <c r="E332" t="s">
        <v>334</v>
      </c>
      <c r="F332" t="s">
        <v>463</v>
      </c>
      <c r="G332" s="1">
        <v>42248</v>
      </c>
      <c r="H332" s="2">
        <v>5516.68</v>
      </c>
      <c r="I332" s="2">
        <f t="shared" si="5"/>
        <v>-5515.68</v>
      </c>
      <c r="J332">
        <v>1</v>
      </c>
      <c r="K332" t="s">
        <v>23</v>
      </c>
      <c r="L332">
        <v>10700040</v>
      </c>
      <c r="M332" t="s">
        <v>65</v>
      </c>
      <c r="N332">
        <v>33000</v>
      </c>
      <c r="O332" t="s">
        <v>30</v>
      </c>
      <c r="P332" t="s">
        <v>527</v>
      </c>
      <c r="Q332" t="s">
        <v>31</v>
      </c>
      <c r="R332">
        <v>164500</v>
      </c>
      <c r="S332" t="s">
        <v>63</v>
      </c>
      <c r="T332">
        <v>1</v>
      </c>
      <c r="U332">
        <v>0</v>
      </c>
      <c r="V332">
        <v>0</v>
      </c>
      <c r="W332">
        <v>0</v>
      </c>
      <c r="X332">
        <v>0</v>
      </c>
      <c r="Y332" s="2">
        <v>-1150891.8600000001</v>
      </c>
      <c r="Z332" s="2">
        <v>1150892.8600000001</v>
      </c>
      <c r="AA332">
        <v>0</v>
      </c>
    </row>
    <row r="333" spans="1:27" x14ac:dyDescent="0.35">
      <c r="A333">
        <v>3458</v>
      </c>
      <c r="B333">
        <v>0</v>
      </c>
      <c r="C333" s="1">
        <v>42247</v>
      </c>
      <c r="D333">
        <v>1</v>
      </c>
      <c r="E333" t="s">
        <v>334</v>
      </c>
      <c r="F333" t="s">
        <v>463</v>
      </c>
      <c r="G333" s="1">
        <v>42248</v>
      </c>
      <c r="H333" s="2">
        <v>5516.68</v>
      </c>
      <c r="I333" s="2">
        <f t="shared" si="5"/>
        <v>-5515.68</v>
      </c>
      <c r="J333">
        <v>1</v>
      </c>
      <c r="K333" t="s">
        <v>23</v>
      </c>
      <c r="L333">
        <v>10700040</v>
      </c>
      <c r="M333" t="s">
        <v>65</v>
      </c>
      <c r="N333">
        <v>33000</v>
      </c>
      <c r="O333" t="s">
        <v>30</v>
      </c>
      <c r="P333" t="s">
        <v>527</v>
      </c>
      <c r="Q333" t="s">
        <v>31</v>
      </c>
      <c r="R333">
        <v>164500</v>
      </c>
      <c r="S333" t="s">
        <v>63</v>
      </c>
      <c r="T333">
        <v>1</v>
      </c>
      <c r="U333">
        <v>0</v>
      </c>
      <c r="V333">
        <v>0</v>
      </c>
      <c r="W333">
        <v>0</v>
      </c>
      <c r="X333">
        <v>0</v>
      </c>
      <c r="Y333" s="2">
        <v>-325891.86</v>
      </c>
      <c r="Z333" s="2">
        <v>325892.86</v>
      </c>
      <c r="AA333">
        <v>0</v>
      </c>
    </row>
    <row r="334" spans="1:27" x14ac:dyDescent="0.35">
      <c r="A334">
        <v>3459</v>
      </c>
      <c r="B334">
        <v>0</v>
      </c>
      <c r="C334" s="1">
        <v>42247</v>
      </c>
      <c r="D334">
        <v>1</v>
      </c>
      <c r="E334" t="s">
        <v>334</v>
      </c>
      <c r="F334" t="s">
        <v>463</v>
      </c>
      <c r="G334" s="1">
        <v>42248</v>
      </c>
      <c r="H334" s="2">
        <v>5516.68</v>
      </c>
      <c r="I334" s="2">
        <f t="shared" si="5"/>
        <v>-5515.68</v>
      </c>
      <c r="J334">
        <v>1</v>
      </c>
      <c r="K334" t="s">
        <v>23</v>
      </c>
      <c r="L334">
        <v>10700040</v>
      </c>
      <c r="M334" t="s">
        <v>65</v>
      </c>
      <c r="N334">
        <v>33000</v>
      </c>
      <c r="O334" t="s">
        <v>30</v>
      </c>
      <c r="P334" t="s">
        <v>527</v>
      </c>
      <c r="Q334" t="s">
        <v>31</v>
      </c>
      <c r="R334">
        <v>164500</v>
      </c>
      <c r="S334" t="s">
        <v>63</v>
      </c>
      <c r="T334">
        <v>1</v>
      </c>
      <c r="U334">
        <v>0</v>
      </c>
      <c r="V334">
        <v>0</v>
      </c>
      <c r="W334">
        <v>0</v>
      </c>
      <c r="X334">
        <v>0</v>
      </c>
      <c r="Y334" s="2">
        <v>-258927.57</v>
      </c>
      <c r="Z334" s="2">
        <v>258928.57</v>
      </c>
      <c r="AA334">
        <v>0</v>
      </c>
    </row>
    <row r="335" spans="1:27" x14ac:dyDescent="0.35">
      <c r="A335">
        <v>3460</v>
      </c>
      <c r="B335">
        <v>0</v>
      </c>
      <c r="C335" s="1">
        <v>42247</v>
      </c>
      <c r="D335">
        <v>1</v>
      </c>
      <c r="E335" t="s">
        <v>334</v>
      </c>
      <c r="F335" t="s">
        <v>463</v>
      </c>
      <c r="G335" s="1">
        <v>42248</v>
      </c>
      <c r="H335" s="2">
        <v>5516.68</v>
      </c>
      <c r="I335" s="2">
        <f t="shared" si="5"/>
        <v>-5515.68</v>
      </c>
      <c r="J335">
        <v>1</v>
      </c>
      <c r="K335" t="s">
        <v>23</v>
      </c>
      <c r="L335">
        <v>10700040</v>
      </c>
      <c r="M335" t="s">
        <v>65</v>
      </c>
      <c r="N335">
        <v>33000</v>
      </c>
      <c r="O335" t="s">
        <v>30</v>
      </c>
      <c r="P335" t="s">
        <v>527</v>
      </c>
      <c r="Q335" t="s">
        <v>31</v>
      </c>
      <c r="R335">
        <v>164500</v>
      </c>
      <c r="S335" t="s">
        <v>63</v>
      </c>
      <c r="T335">
        <v>1</v>
      </c>
      <c r="U335">
        <v>0</v>
      </c>
      <c r="V335">
        <v>0</v>
      </c>
      <c r="W335">
        <v>0</v>
      </c>
      <c r="X335">
        <v>0</v>
      </c>
      <c r="Y335" s="2">
        <v>-23529</v>
      </c>
      <c r="Z335" s="2">
        <v>23530</v>
      </c>
      <c r="AA335">
        <v>0</v>
      </c>
    </row>
    <row r="336" spans="1:27" x14ac:dyDescent="0.35">
      <c r="A336">
        <v>3461</v>
      </c>
      <c r="B336">
        <v>0</v>
      </c>
      <c r="C336" s="1">
        <v>42247</v>
      </c>
      <c r="D336">
        <v>1</v>
      </c>
      <c r="E336" t="s">
        <v>334</v>
      </c>
      <c r="F336" t="s">
        <v>463</v>
      </c>
      <c r="G336" s="1">
        <v>42248</v>
      </c>
      <c r="H336" s="2">
        <v>5516.68</v>
      </c>
      <c r="I336" s="2">
        <f t="shared" si="5"/>
        <v>-5515.68</v>
      </c>
      <c r="J336">
        <v>1</v>
      </c>
      <c r="K336" t="s">
        <v>23</v>
      </c>
      <c r="L336">
        <v>10700040</v>
      </c>
      <c r="M336" t="s">
        <v>65</v>
      </c>
      <c r="N336">
        <v>33000</v>
      </c>
      <c r="O336" t="s">
        <v>30</v>
      </c>
      <c r="P336" t="s">
        <v>527</v>
      </c>
      <c r="Q336" t="s">
        <v>31</v>
      </c>
      <c r="R336">
        <v>164500</v>
      </c>
      <c r="S336" t="s">
        <v>63</v>
      </c>
      <c r="T336">
        <v>1</v>
      </c>
      <c r="U336">
        <v>0</v>
      </c>
      <c r="V336">
        <v>0</v>
      </c>
      <c r="W336">
        <v>0</v>
      </c>
      <c r="X336">
        <v>0</v>
      </c>
      <c r="Y336" s="2">
        <v>-9959</v>
      </c>
      <c r="Z336" s="2">
        <v>9960</v>
      </c>
      <c r="AA336">
        <v>0</v>
      </c>
    </row>
    <row r="337" spans="1:27" x14ac:dyDescent="0.35">
      <c r="A337">
        <v>3462</v>
      </c>
      <c r="B337">
        <v>0</v>
      </c>
      <c r="C337" s="1">
        <v>42247</v>
      </c>
      <c r="D337">
        <v>1</v>
      </c>
      <c r="E337" t="s">
        <v>334</v>
      </c>
      <c r="F337" t="s">
        <v>464</v>
      </c>
      <c r="G337" s="1">
        <v>42248</v>
      </c>
      <c r="H337" s="2">
        <v>8430</v>
      </c>
      <c r="I337" s="2">
        <f t="shared" si="5"/>
        <v>-8429</v>
      </c>
      <c r="J337">
        <v>1</v>
      </c>
      <c r="K337" t="s">
        <v>23</v>
      </c>
      <c r="L337">
        <v>10700040</v>
      </c>
      <c r="M337" t="s">
        <v>65</v>
      </c>
      <c r="N337">
        <v>33000</v>
      </c>
      <c r="O337" t="s">
        <v>30</v>
      </c>
      <c r="P337" t="s">
        <v>527</v>
      </c>
      <c r="Q337" t="s">
        <v>31</v>
      </c>
      <c r="R337">
        <v>164500</v>
      </c>
      <c r="S337" t="s">
        <v>63</v>
      </c>
      <c r="T337">
        <v>1</v>
      </c>
      <c r="U337">
        <v>0</v>
      </c>
      <c r="V337">
        <v>0</v>
      </c>
      <c r="W337">
        <v>0</v>
      </c>
      <c r="X337">
        <v>0</v>
      </c>
      <c r="Y337" s="2">
        <v>-9959</v>
      </c>
      <c r="Z337" s="2">
        <v>9960</v>
      </c>
      <c r="AA337">
        <v>0</v>
      </c>
    </row>
    <row r="338" spans="1:27" x14ac:dyDescent="0.35">
      <c r="A338">
        <v>3463</v>
      </c>
      <c r="B338">
        <v>0</v>
      </c>
      <c r="C338" s="1">
        <v>42247</v>
      </c>
      <c r="D338">
        <v>1</v>
      </c>
      <c r="E338" t="s">
        <v>334</v>
      </c>
      <c r="F338" t="s">
        <v>464</v>
      </c>
      <c r="G338" s="1">
        <v>42248</v>
      </c>
      <c r="H338" s="2">
        <v>8430</v>
      </c>
      <c r="I338" s="2">
        <f t="shared" si="5"/>
        <v>-8429</v>
      </c>
      <c r="J338">
        <v>1</v>
      </c>
      <c r="K338" t="s">
        <v>23</v>
      </c>
      <c r="L338">
        <v>10700040</v>
      </c>
      <c r="M338" t="s">
        <v>65</v>
      </c>
      <c r="N338">
        <v>33000</v>
      </c>
      <c r="O338" t="s">
        <v>30</v>
      </c>
      <c r="P338" t="s">
        <v>527</v>
      </c>
      <c r="Q338" t="s">
        <v>31</v>
      </c>
      <c r="R338">
        <v>164500</v>
      </c>
      <c r="S338" t="s">
        <v>63</v>
      </c>
      <c r="T338">
        <v>1</v>
      </c>
      <c r="U338">
        <v>0</v>
      </c>
      <c r="V338">
        <v>0</v>
      </c>
      <c r="W338">
        <v>0</v>
      </c>
      <c r="X338">
        <v>0</v>
      </c>
      <c r="Y338" s="2">
        <v>-47766.86</v>
      </c>
      <c r="Z338" s="2">
        <v>47767.86</v>
      </c>
      <c r="AA338">
        <v>0</v>
      </c>
    </row>
    <row r="339" spans="1:27" x14ac:dyDescent="0.35">
      <c r="A339">
        <v>3464</v>
      </c>
      <c r="B339">
        <v>0</v>
      </c>
      <c r="C339" s="1">
        <v>42247</v>
      </c>
      <c r="D339">
        <v>1</v>
      </c>
      <c r="E339" t="s">
        <v>334</v>
      </c>
      <c r="F339" t="s">
        <v>464</v>
      </c>
      <c r="G339" s="1">
        <v>42248</v>
      </c>
      <c r="H339" s="2">
        <v>8430</v>
      </c>
      <c r="I339" s="2">
        <f t="shared" si="5"/>
        <v>-8429</v>
      </c>
      <c r="J339">
        <v>1</v>
      </c>
      <c r="K339" t="s">
        <v>23</v>
      </c>
      <c r="L339">
        <v>10700040</v>
      </c>
      <c r="M339" t="s">
        <v>65</v>
      </c>
      <c r="N339">
        <v>33000</v>
      </c>
      <c r="O339" t="s">
        <v>30</v>
      </c>
      <c r="P339" t="s">
        <v>527</v>
      </c>
      <c r="Q339" t="s">
        <v>31</v>
      </c>
      <c r="R339">
        <v>164500</v>
      </c>
      <c r="S339" t="s">
        <v>63</v>
      </c>
      <c r="T339">
        <v>1</v>
      </c>
      <c r="U339">
        <v>0</v>
      </c>
      <c r="V339">
        <v>0</v>
      </c>
      <c r="W339">
        <v>0</v>
      </c>
      <c r="X339">
        <v>0</v>
      </c>
      <c r="Y339" s="2">
        <v>-92149</v>
      </c>
      <c r="Z339" s="2">
        <v>92150</v>
      </c>
      <c r="AA339">
        <v>0</v>
      </c>
    </row>
    <row r="340" spans="1:27" x14ac:dyDescent="0.35">
      <c r="A340">
        <v>3465</v>
      </c>
      <c r="B340">
        <v>0</v>
      </c>
      <c r="C340" s="1">
        <v>42247</v>
      </c>
      <c r="D340">
        <v>1</v>
      </c>
      <c r="E340" t="s">
        <v>334</v>
      </c>
      <c r="F340" t="s">
        <v>464</v>
      </c>
      <c r="G340" s="1">
        <v>42248</v>
      </c>
      <c r="H340" s="2">
        <v>8430</v>
      </c>
      <c r="I340" s="2">
        <f t="shared" si="5"/>
        <v>-8429</v>
      </c>
      <c r="J340">
        <v>1</v>
      </c>
      <c r="K340" t="s">
        <v>23</v>
      </c>
      <c r="L340">
        <v>10700040</v>
      </c>
      <c r="M340" t="s">
        <v>65</v>
      </c>
      <c r="N340">
        <v>33000</v>
      </c>
      <c r="O340" t="s">
        <v>30</v>
      </c>
      <c r="P340" t="s">
        <v>527</v>
      </c>
      <c r="Q340" t="s">
        <v>31</v>
      </c>
      <c r="R340">
        <v>164500</v>
      </c>
      <c r="S340" t="s">
        <v>63</v>
      </c>
      <c r="T340">
        <v>1</v>
      </c>
      <c r="U340">
        <v>0</v>
      </c>
      <c r="V340">
        <v>0</v>
      </c>
      <c r="W340">
        <v>0</v>
      </c>
      <c r="X340">
        <v>0</v>
      </c>
      <c r="Y340" s="2">
        <v>-35149</v>
      </c>
      <c r="Z340" s="2">
        <v>35150</v>
      </c>
      <c r="AA340">
        <v>0</v>
      </c>
    </row>
    <row r="341" spans="1:27" x14ac:dyDescent="0.35">
      <c r="A341">
        <v>3484</v>
      </c>
      <c r="B341">
        <v>0</v>
      </c>
      <c r="C341" s="1">
        <v>42308</v>
      </c>
      <c r="D341">
        <v>1</v>
      </c>
      <c r="E341" t="s">
        <v>334</v>
      </c>
      <c r="F341" t="s">
        <v>467</v>
      </c>
      <c r="G341" s="1">
        <v>42278</v>
      </c>
      <c r="H341" s="2">
        <v>28320</v>
      </c>
      <c r="I341" s="2">
        <f t="shared" si="5"/>
        <v>-28319</v>
      </c>
      <c r="J341">
        <v>1</v>
      </c>
      <c r="K341" t="s">
        <v>23</v>
      </c>
      <c r="L341">
        <v>10700040</v>
      </c>
      <c r="M341" t="s">
        <v>65</v>
      </c>
      <c r="N341">
        <v>33000</v>
      </c>
      <c r="O341" t="s">
        <v>30</v>
      </c>
      <c r="P341" t="s">
        <v>527</v>
      </c>
      <c r="Q341" t="s">
        <v>31</v>
      </c>
      <c r="R341">
        <v>164500</v>
      </c>
      <c r="S341" t="s">
        <v>63</v>
      </c>
      <c r="T341">
        <v>1</v>
      </c>
      <c r="U341">
        <v>0</v>
      </c>
      <c r="V341">
        <v>0</v>
      </c>
      <c r="W341">
        <v>0</v>
      </c>
      <c r="X341">
        <v>0</v>
      </c>
      <c r="Y341" s="2">
        <v>-5490.07</v>
      </c>
      <c r="Z341" s="2">
        <v>5491.07</v>
      </c>
      <c r="AA341">
        <v>0</v>
      </c>
    </row>
    <row r="342" spans="1:27" x14ac:dyDescent="0.35">
      <c r="A342">
        <v>3563</v>
      </c>
      <c r="B342">
        <v>0</v>
      </c>
      <c r="C342" s="1">
        <v>42370</v>
      </c>
      <c r="D342">
        <v>1</v>
      </c>
      <c r="E342" t="s">
        <v>334</v>
      </c>
      <c r="F342" t="s">
        <v>470</v>
      </c>
      <c r="G342" s="1">
        <v>42248</v>
      </c>
      <c r="H342" s="2">
        <v>2060000</v>
      </c>
      <c r="I342" s="2">
        <f t="shared" si="5"/>
        <v>-2059999</v>
      </c>
      <c r="J342">
        <v>1</v>
      </c>
      <c r="K342" t="s">
        <v>23</v>
      </c>
      <c r="L342">
        <v>10700040</v>
      </c>
      <c r="M342" t="s">
        <v>65</v>
      </c>
      <c r="N342">
        <v>33000</v>
      </c>
      <c r="O342" t="s">
        <v>30</v>
      </c>
      <c r="P342" t="s">
        <v>527</v>
      </c>
      <c r="Q342" t="s">
        <v>31</v>
      </c>
      <c r="R342">
        <v>164500</v>
      </c>
      <c r="S342" t="s">
        <v>63</v>
      </c>
      <c r="T342">
        <v>1</v>
      </c>
      <c r="U342">
        <v>0</v>
      </c>
      <c r="V342">
        <v>0</v>
      </c>
      <c r="W342">
        <v>0</v>
      </c>
      <c r="X342">
        <v>0</v>
      </c>
      <c r="Y342" s="2">
        <v>-5490.07</v>
      </c>
      <c r="Z342" s="2">
        <v>5491.07</v>
      </c>
      <c r="AA342">
        <v>0</v>
      </c>
    </row>
    <row r="343" spans="1:27" x14ac:dyDescent="0.35">
      <c r="A343">
        <v>3567</v>
      </c>
      <c r="B343">
        <v>0</v>
      </c>
      <c r="C343" s="1">
        <v>42370</v>
      </c>
      <c r="D343">
        <v>1</v>
      </c>
      <c r="E343" t="s">
        <v>334</v>
      </c>
      <c r="F343" t="s">
        <v>471</v>
      </c>
      <c r="G343" s="1">
        <v>42248</v>
      </c>
      <c r="H343" s="2">
        <v>107000</v>
      </c>
      <c r="I343" s="2">
        <f t="shared" si="5"/>
        <v>-106999</v>
      </c>
      <c r="J343">
        <v>1</v>
      </c>
      <c r="K343" t="s">
        <v>23</v>
      </c>
      <c r="L343">
        <v>10700040</v>
      </c>
      <c r="M343" t="s">
        <v>65</v>
      </c>
      <c r="N343">
        <v>33000</v>
      </c>
      <c r="O343" t="s">
        <v>30</v>
      </c>
      <c r="P343" t="s">
        <v>527</v>
      </c>
      <c r="Q343" t="s">
        <v>31</v>
      </c>
      <c r="R343">
        <v>164500</v>
      </c>
      <c r="S343" t="s">
        <v>63</v>
      </c>
      <c r="T343">
        <v>1</v>
      </c>
      <c r="U343">
        <v>0</v>
      </c>
      <c r="V343">
        <v>0</v>
      </c>
      <c r="W343">
        <v>0</v>
      </c>
      <c r="X343">
        <v>0</v>
      </c>
      <c r="Y343" s="2">
        <v>-5490.07</v>
      </c>
      <c r="Z343" s="2">
        <v>5491.07</v>
      </c>
      <c r="AA343">
        <v>0</v>
      </c>
    </row>
    <row r="344" spans="1:27" x14ac:dyDescent="0.35">
      <c r="A344">
        <v>3682</v>
      </c>
      <c r="B344">
        <v>0</v>
      </c>
      <c r="C344" s="1">
        <v>42947</v>
      </c>
      <c r="D344">
        <v>1</v>
      </c>
      <c r="E344" t="s">
        <v>334</v>
      </c>
      <c r="F344" t="s">
        <v>477</v>
      </c>
      <c r="G344" s="1">
        <v>42948</v>
      </c>
      <c r="H344" s="2">
        <v>350000</v>
      </c>
      <c r="I344" s="2">
        <f t="shared" si="5"/>
        <v>-349999</v>
      </c>
      <c r="J344">
        <v>1</v>
      </c>
      <c r="K344" t="s">
        <v>23</v>
      </c>
      <c r="L344">
        <v>10700040</v>
      </c>
      <c r="M344" t="s">
        <v>65</v>
      </c>
      <c r="N344">
        <v>33000</v>
      </c>
      <c r="O344" t="s">
        <v>30</v>
      </c>
      <c r="P344" t="s">
        <v>527</v>
      </c>
      <c r="Q344" t="s">
        <v>31</v>
      </c>
      <c r="R344">
        <v>164500</v>
      </c>
      <c r="S344" t="s">
        <v>63</v>
      </c>
      <c r="T344">
        <v>1</v>
      </c>
      <c r="U344">
        <v>0</v>
      </c>
      <c r="V344">
        <v>0</v>
      </c>
      <c r="W344">
        <v>0</v>
      </c>
      <c r="X344">
        <v>0</v>
      </c>
      <c r="Y344" s="2">
        <v>-5490.08</v>
      </c>
      <c r="Z344" s="2">
        <v>5491.08</v>
      </c>
      <c r="AA344">
        <v>0</v>
      </c>
    </row>
    <row r="345" spans="1:27" x14ac:dyDescent="0.35">
      <c r="A345">
        <v>3743</v>
      </c>
      <c r="B345">
        <v>0</v>
      </c>
      <c r="C345" s="1">
        <v>43159</v>
      </c>
      <c r="D345">
        <v>1</v>
      </c>
      <c r="E345" t="s">
        <v>334</v>
      </c>
      <c r="F345" t="s">
        <v>478</v>
      </c>
      <c r="G345" s="1">
        <v>43160</v>
      </c>
      <c r="H345" s="2">
        <v>481157</v>
      </c>
      <c r="I345" s="2">
        <f t="shared" si="5"/>
        <v>-481156</v>
      </c>
      <c r="J345">
        <v>1</v>
      </c>
      <c r="K345" t="s">
        <v>23</v>
      </c>
      <c r="L345">
        <v>10700040</v>
      </c>
      <c r="M345" t="s">
        <v>65</v>
      </c>
      <c r="N345">
        <v>33000</v>
      </c>
      <c r="O345" t="s">
        <v>30</v>
      </c>
      <c r="P345" t="s">
        <v>527</v>
      </c>
      <c r="Q345" t="s">
        <v>31</v>
      </c>
      <c r="R345">
        <v>164500</v>
      </c>
      <c r="S345" t="s">
        <v>63</v>
      </c>
      <c r="T345">
        <v>1</v>
      </c>
      <c r="U345">
        <v>0</v>
      </c>
      <c r="V345">
        <v>0</v>
      </c>
      <c r="W345">
        <v>0</v>
      </c>
      <c r="X345">
        <v>0</v>
      </c>
      <c r="Y345" s="2">
        <v>-47766.86</v>
      </c>
      <c r="Z345" s="2">
        <v>47767.86</v>
      </c>
      <c r="AA345">
        <v>0</v>
      </c>
    </row>
    <row r="346" spans="1:27" x14ac:dyDescent="0.35">
      <c r="A346">
        <v>3811</v>
      </c>
      <c r="B346">
        <v>0</v>
      </c>
      <c r="C346" s="1">
        <v>43465</v>
      </c>
      <c r="D346">
        <v>1</v>
      </c>
      <c r="E346" t="s">
        <v>389</v>
      </c>
      <c r="F346" t="s">
        <v>484</v>
      </c>
      <c r="G346" s="1">
        <v>43313</v>
      </c>
      <c r="H346" s="2">
        <v>120000</v>
      </c>
      <c r="I346" s="2">
        <f t="shared" si="5"/>
        <v>-119999</v>
      </c>
      <c r="J346">
        <v>1</v>
      </c>
      <c r="K346" t="s">
        <v>23</v>
      </c>
      <c r="L346">
        <v>10700040</v>
      </c>
      <c r="M346" t="s">
        <v>65</v>
      </c>
      <c r="N346">
        <v>33000</v>
      </c>
      <c r="O346" t="s">
        <v>30</v>
      </c>
      <c r="P346" t="s">
        <v>527</v>
      </c>
      <c r="Q346" t="s">
        <v>31</v>
      </c>
      <c r="R346">
        <v>164500</v>
      </c>
      <c r="S346" t="s">
        <v>63</v>
      </c>
      <c r="T346">
        <v>1</v>
      </c>
      <c r="U346">
        <v>0</v>
      </c>
      <c r="V346">
        <v>0</v>
      </c>
      <c r="W346">
        <v>0</v>
      </c>
      <c r="X346">
        <v>0</v>
      </c>
      <c r="Y346" s="2">
        <v>-5657</v>
      </c>
      <c r="Z346" s="2">
        <v>5658</v>
      </c>
      <c r="AA346">
        <v>0</v>
      </c>
    </row>
    <row r="347" spans="1:27" x14ac:dyDescent="0.35">
      <c r="A347">
        <v>3812</v>
      </c>
      <c r="B347">
        <v>0</v>
      </c>
      <c r="C347" s="1">
        <v>43465</v>
      </c>
      <c r="D347">
        <v>1</v>
      </c>
      <c r="E347" t="s">
        <v>389</v>
      </c>
      <c r="F347" t="s">
        <v>484</v>
      </c>
      <c r="G347" s="1">
        <v>43313</v>
      </c>
      <c r="H347" s="2">
        <v>120000</v>
      </c>
      <c r="I347" s="2">
        <f t="shared" si="5"/>
        <v>-119999</v>
      </c>
      <c r="J347">
        <v>1</v>
      </c>
      <c r="K347" t="s">
        <v>23</v>
      </c>
      <c r="L347">
        <v>10700040</v>
      </c>
      <c r="M347" t="s">
        <v>65</v>
      </c>
      <c r="N347">
        <v>33000</v>
      </c>
      <c r="O347" t="s">
        <v>30</v>
      </c>
      <c r="P347" t="s">
        <v>527</v>
      </c>
      <c r="Q347" t="s">
        <v>31</v>
      </c>
      <c r="R347">
        <v>164500</v>
      </c>
      <c r="S347" t="s">
        <v>63</v>
      </c>
      <c r="T347">
        <v>1</v>
      </c>
      <c r="U347">
        <v>0</v>
      </c>
      <c r="V347">
        <v>0</v>
      </c>
      <c r="W347">
        <v>0</v>
      </c>
      <c r="X347">
        <v>0</v>
      </c>
      <c r="Y347" s="2">
        <v>-5836</v>
      </c>
      <c r="Z347" s="2">
        <v>5837</v>
      </c>
      <c r="AA347">
        <v>0</v>
      </c>
    </row>
    <row r="348" spans="1:27" x14ac:dyDescent="0.35">
      <c r="A348">
        <v>3813</v>
      </c>
      <c r="B348">
        <v>0</v>
      </c>
      <c r="C348" s="1">
        <v>43465</v>
      </c>
      <c r="D348">
        <v>1</v>
      </c>
      <c r="E348" t="s">
        <v>389</v>
      </c>
      <c r="F348" t="s">
        <v>484</v>
      </c>
      <c r="G348" s="1">
        <v>43313</v>
      </c>
      <c r="H348" s="2">
        <v>120000</v>
      </c>
      <c r="I348" s="2">
        <f t="shared" si="5"/>
        <v>-119999</v>
      </c>
      <c r="J348">
        <v>1</v>
      </c>
      <c r="K348" t="s">
        <v>23</v>
      </c>
      <c r="L348">
        <v>10700040</v>
      </c>
      <c r="M348" t="s">
        <v>65</v>
      </c>
      <c r="N348">
        <v>33000</v>
      </c>
      <c r="O348" t="s">
        <v>30</v>
      </c>
      <c r="P348" t="s">
        <v>527</v>
      </c>
      <c r="Q348" t="s">
        <v>31</v>
      </c>
      <c r="R348">
        <v>164500</v>
      </c>
      <c r="S348" t="s">
        <v>63</v>
      </c>
      <c r="T348">
        <v>1</v>
      </c>
      <c r="U348">
        <v>0</v>
      </c>
      <c r="V348">
        <v>0</v>
      </c>
      <c r="W348">
        <v>0</v>
      </c>
      <c r="X348">
        <v>0</v>
      </c>
      <c r="Y348" s="2">
        <v>-6734</v>
      </c>
      <c r="Z348" s="2">
        <v>6735</v>
      </c>
      <c r="AA348">
        <v>0</v>
      </c>
    </row>
    <row r="349" spans="1:27" x14ac:dyDescent="0.35">
      <c r="A349">
        <v>3814</v>
      </c>
      <c r="B349">
        <v>0</v>
      </c>
      <c r="C349" s="1">
        <v>43465</v>
      </c>
      <c r="D349">
        <v>1</v>
      </c>
      <c r="E349" t="s">
        <v>389</v>
      </c>
      <c r="F349" t="s">
        <v>484</v>
      </c>
      <c r="G349" s="1">
        <v>43313</v>
      </c>
      <c r="H349" s="2">
        <v>120000</v>
      </c>
      <c r="I349" s="2">
        <f t="shared" si="5"/>
        <v>-119999</v>
      </c>
      <c r="J349">
        <v>1</v>
      </c>
      <c r="K349" t="s">
        <v>23</v>
      </c>
      <c r="L349">
        <v>10700040</v>
      </c>
      <c r="M349" t="s">
        <v>65</v>
      </c>
      <c r="N349">
        <v>33000</v>
      </c>
      <c r="O349" t="s">
        <v>30</v>
      </c>
      <c r="P349" t="s">
        <v>527</v>
      </c>
      <c r="Q349" t="s">
        <v>31</v>
      </c>
      <c r="R349">
        <v>164500</v>
      </c>
      <c r="S349" t="s">
        <v>63</v>
      </c>
      <c r="T349">
        <v>1</v>
      </c>
      <c r="U349">
        <v>0</v>
      </c>
      <c r="V349">
        <v>0</v>
      </c>
      <c r="W349">
        <v>0</v>
      </c>
      <c r="X349">
        <v>0</v>
      </c>
      <c r="Y349" s="2">
        <v>-7871</v>
      </c>
      <c r="Z349" s="2">
        <v>7872</v>
      </c>
      <c r="AA349">
        <v>0</v>
      </c>
    </row>
    <row r="350" spans="1:27" x14ac:dyDescent="0.35">
      <c r="A350">
        <v>3815</v>
      </c>
      <c r="B350">
        <v>0</v>
      </c>
      <c r="C350" s="1">
        <v>43465</v>
      </c>
      <c r="D350">
        <v>1</v>
      </c>
      <c r="E350" t="s">
        <v>389</v>
      </c>
      <c r="F350" t="s">
        <v>484</v>
      </c>
      <c r="G350" s="1">
        <v>43313</v>
      </c>
      <c r="H350" s="2">
        <v>120000</v>
      </c>
      <c r="I350" s="2">
        <f t="shared" si="5"/>
        <v>-119999</v>
      </c>
      <c r="J350">
        <v>1</v>
      </c>
      <c r="K350" t="s">
        <v>23</v>
      </c>
      <c r="L350">
        <v>10700040</v>
      </c>
      <c r="M350" t="s">
        <v>65</v>
      </c>
      <c r="N350">
        <v>33000</v>
      </c>
      <c r="O350" t="s">
        <v>30</v>
      </c>
      <c r="P350" t="s">
        <v>527</v>
      </c>
      <c r="Q350" t="s">
        <v>31</v>
      </c>
      <c r="R350">
        <v>164500</v>
      </c>
      <c r="S350" t="s">
        <v>63</v>
      </c>
      <c r="T350">
        <v>1</v>
      </c>
      <c r="U350">
        <v>0</v>
      </c>
      <c r="V350">
        <v>0</v>
      </c>
      <c r="W350">
        <v>0</v>
      </c>
      <c r="X350">
        <v>0</v>
      </c>
      <c r="Y350" s="2">
        <v>-9509</v>
      </c>
      <c r="Z350" s="2">
        <v>9510</v>
      </c>
      <c r="AA350">
        <v>0</v>
      </c>
    </row>
    <row r="351" spans="1:27" x14ac:dyDescent="0.35">
      <c r="A351">
        <v>3816</v>
      </c>
      <c r="B351">
        <v>0</v>
      </c>
      <c r="C351" s="1">
        <v>43465</v>
      </c>
      <c r="D351">
        <v>1</v>
      </c>
      <c r="E351" t="s">
        <v>389</v>
      </c>
      <c r="F351" t="s">
        <v>484</v>
      </c>
      <c r="G351" s="1">
        <v>43313</v>
      </c>
      <c r="H351" s="2">
        <v>120000</v>
      </c>
      <c r="I351" s="2">
        <f t="shared" si="5"/>
        <v>-119999</v>
      </c>
      <c r="J351">
        <v>1</v>
      </c>
      <c r="K351" t="s">
        <v>23</v>
      </c>
      <c r="L351">
        <v>10700040</v>
      </c>
      <c r="M351" t="s">
        <v>65</v>
      </c>
      <c r="N351">
        <v>33000</v>
      </c>
      <c r="O351" t="s">
        <v>30</v>
      </c>
      <c r="P351" t="s">
        <v>527</v>
      </c>
      <c r="Q351" t="s">
        <v>31</v>
      </c>
      <c r="R351">
        <v>164500</v>
      </c>
      <c r="S351" t="s">
        <v>63</v>
      </c>
      <c r="T351">
        <v>1</v>
      </c>
      <c r="U351">
        <v>0</v>
      </c>
      <c r="V351">
        <v>0</v>
      </c>
      <c r="W351">
        <v>0</v>
      </c>
      <c r="X351">
        <v>0</v>
      </c>
      <c r="Y351" s="2">
        <v>-414061.5</v>
      </c>
      <c r="Z351" s="2">
        <v>468750</v>
      </c>
      <c r="AA351">
        <v>0</v>
      </c>
    </row>
    <row r="352" spans="1:27" x14ac:dyDescent="0.35">
      <c r="A352">
        <v>3817</v>
      </c>
      <c r="B352">
        <v>0</v>
      </c>
      <c r="C352" s="1">
        <v>43465</v>
      </c>
      <c r="D352">
        <v>1</v>
      </c>
      <c r="E352" t="s">
        <v>389</v>
      </c>
      <c r="F352" t="s">
        <v>484</v>
      </c>
      <c r="G352" s="1">
        <v>43313</v>
      </c>
      <c r="H352" s="2">
        <v>120000</v>
      </c>
      <c r="I352" s="2">
        <f t="shared" si="5"/>
        <v>-119999</v>
      </c>
      <c r="J352">
        <v>1</v>
      </c>
      <c r="K352" t="s">
        <v>23</v>
      </c>
      <c r="L352">
        <v>10700040</v>
      </c>
      <c r="M352" t="s">
        <v>65</v>
      </c>
      <c r="N352">
        <v>33000</v>
      </c>
      <c r="O352" t="s">
        <v>30</v>
      </c>
      <c r="P352" t="s">
        <v>527</v>
      </c>
      <c r="Q352" t="s">
        <v>31</v>
      </c>
      <c r="R352">
        <v>164500</v>
      </c>
      <c r="S352" t="s">
        <v>63</v>
      </c>
      <c r="T352">
        <v>1</v>
      </c>
      <c r="U352">
        <v>0</v>
      </c>
      <c r="V352">
        <v>0</v>
      </c>
      <c r="W352">
        <v>0</v>
      </c>
      <c r="X352">
        <v>0</v>
      </c>
      <c r="Y352" s="2">
        <v>-345237.1</v>
      </c>
      <c r="Z352" s="2">
        <v>357142.86</v>
      </c>
      <c r="AA352">
        <v>0</v>
      </c>
    </row>
    <row r="353" spans="1:27" x14ac:dyDescent="0.35">
      <c r="A353">
        <v>3818</v>
      </c>
      <c r="B353">
        <v>0</v>
      </c>
      <c r="C353" s="1">
        <v>43465</v>
      </c>
      <c r="D353">
        <v>1</v>
      </c>
      <c r="E353" t="s">
        <v>20</v>
      </c>
      <c r="F353" t="s">
        <v>485</v>
      </c>
      <c r="G353" s="1">
        <v>43344</v>
      </c>
      <c r="H353" s="2">
        <v>134000</v>
      </c>
      <c r="I353" s="2">
        <f t="shared" si="5"/>
        <v>-133999</v>
      </c>
      <c r="J353">
        <v>1</v>
      </c>
      <c r="K353" t="s">
        <v>23</v>
      </c>
      <c r="L353">
        <v>10700040</v>
      </c>
      <c r="M353" t="s">
        <v>65</v>
      </c>
      <c r="N353">
        <v>33000</v>
      </c>
      <c r="O353" t="s">
        <v>30</v>
      </c>
      <c r="P353" t="s">
        <v>527</v>
      </c>
      <c r="Q353" t="s">
        <v>31</v>
      </c>
      <c r="R353">
        <v>164500</v>
      </c>
      <c r="S353" t="s">
        <v>63</v>
      </c>
      <c r="T353">
        <v>1</v>
      </c>
      <c r="U353">
        <v>0</v>
      </c>
      <c r="V353">
        <v>0</v>
      </c>
      <c r="W353">
        <v>0</v>
      </c>
      <c r="X353">
        <v>0</v>
      </c>
      <c r="Y353" s="2">
        <v>-14579</v>
      </c>
      <c r="Z353" s="2">
        <v>14580</v>
      </c>
      <c r="AA353">
        <v>0</v>
      </c>
    </row>
    <row r="354" spans="1:27" x14ac:dyDescent="0.35">
      <c r="A354">
        <v>3819</v>
      </c>
      <c r="B354">
        <v>0</v>
      </c>
      <c r="C354" s="1">
        <v>43465</v>
      </c>
      <c r="D354">
        <v>1</v>
      </c>
      <c r="E354" t="s">
        <v>20</v>
      </c>
      <c r="F354" t="s">
        <v>485</v>
      </c>
      <c r="G354" s="1">
        <v>43344</v>
      </c>
      <c r="H354" s="2">
        <v>134000</v>
      </c>
      <c r="I354" s="2">
        <f t="shared" si="5"/>
        <v>-133999</v>
      </c>
      <c r="J354">
        <v>1</v>
      </c>
      <c r="K354" t="s">
        <v>23</v>
      </c>
      <c r="L354">
        <v>10700040</v>
      </c>
      <c r="M354" t="s">
        <v>65</v>
      </c>
      <c r="N354">
        <v>33000</v>
      </c>
      <c r="O354" t="s">
        <v>30</v>
      </c>
      <c r="P354" t="s">
        <v>527</v>
      </c>
      <c r="Q354" t="s">
        <v>31</v>
      </c>
      <c r="R354">
        <v>164500</v>
      </c>
      <c r="S354" t="s">
        <v>63</v>
      </c>
      <c r="T354">
        <v>1</v>
      </c>
      <c r="U354">
        <v>0</v>
      </c>
      <c r="V354">
        <v>0</v>
      </c>
      <c r="W354">
        <v>0</v>
      </c>
      <c r="X354">
        <v>0</v>
      </c>
      <c r="Y354" s="2">
        <v>-51499</v>
      </c>
      <c r="Z354" s="2">
        <v>51500</v>
      </c>
      <c r="AA354">
        <v>0</v>
      </c>
    </row>
    <row r="355" spans="1:27" x14ac:dyDescent="0.35">
      <c r="A355">
        <v>3820</v>
      </c>
      <c r="B355">
        <v>0</v>
      </c>
      <c r="C355" s="1">
        <v>43465</v>
      </c>
      <c r="D355">
        <v>1</v>
      </c>
      <c r="E355" t="s">
        <v>20</v>
      </c>
      <c r="F355" t="s">
        <v>485</v>
      </c>
      <c r="G355" s="1">
        <v>43344</v>
      </c>
      <c r="H355" s="2">
        <v>134000</v>
      </c>
      <c r="I355" s="2">
        <f t="shared" si="5"/>
        <v>-133999</v>
      </c>
      <c r="J355">
        <v>1</v>
      </c>
      <c r="K355" t="s">
        <v>23</v>
      </c>
      <c r="L355">
        <v>10700040</v>
      </c>
      <c r="M355" t="s">
        <v>65</v>
      </c>
      <c r="N355">
        <v>33000</v>
      </c>
      <c r="O355" t="s">
        <v>30</v>
      </c>
      <c r="P355" t="s">
        <v>527</v>
      </c>
      <c r="Q355" t="s">
        <v>31</v>
      </c>
      <c r="R355">
        <v>164500</v>
      </c>
      <c r="S355" t="s">
        <v>63</v>
      </c>
      <c r="T355">
        <v>1</v>
      </c>
      <c r="U355">
        <v>0</v>
      </c>
      <c r="V355">
        <v>0</v>
      </c>
      <c r="W355">
        <v>0</v>
      </c>
      <c r="X355">
        <v>0</v>
      </c>
      <c r="Y355" s="2">
        <v>-16015.48</v>
      </c>
      <c r="Z355" s="2">
        <v>16016.48</v>
      </c>
      <c r="AA355">
        <v>0</v>
      </c>
    </row>
    <row r="356" spans="1:27" x14ac:dyDescent="0.35">
      <c r="A356">
        <v>3821</v>
      </c>
      <c r="B356">
        <v>0</v>
      </c>
      <c r="C356" s="1">
        <v>43465</v>
      </c>
      <c r="D356">
        <v>1</v>
      </c>
      <c r="E356" t="s">
        <v>20</v>
      </c>
      <c r="F356" t="s">
        <v>485</v>
      </c>
      <c r="G356" s="1">
        <v>43344</v>
      </c>
      <c r="H356" s="2">
        <v>134000</v>
      </c>
      <c r="I356" s="2">
        <f t="shared" si="5"/>
        <v>-133999</v>
      </c>
      <c r="J356">
        <v>1</v>
      </c>
      <c r="K356" t="s">
        <v>23</v>
      </c>
      <c r="L356">
        <v>10700040</v>
      </c>
      <c r="M356" t="s">
        <v>65</v>
      </c>
      <c r="N356">
        <v>33000</v>
      </c>
      <c r="O356" t="s">
        <v>30</v>
      </c>
      <c r="P356" t="s">
        <v>527</v>
      </c>
      <c r="Q356" t="s">
        <v>31</v>
      </c>
      <c r="R356">
        <v>164500</v>
      </c>
      <c r="S356" t="s">
        <v>63</v>
      </c>
      <c r="T356">
        <v>1</v>
      </c>
      <c r="U356">
        <v>0</v>
      </c>
      <c r="V356">
        <v>0</v>
      </c>
      <c r="W356">
        <v>0</v>
      </c>
      <c r="X356">
        <v>0</v>
      </c>
      <c r="Y356" s="2">
        <v>-14007.24</v>
      </c>
      <c r="Z356" s="2">
        <v>14008.24</v>
      </c>
      <c r="AA356">
        <v>0</v>
      </c>
    </row>
    <row r="357" spans="1:27" x14ac:dyDescent="0.35">
      <c r="A357">
        <v>3822</v>
      </c>
      <c r="B357">
        <v>0</v>
      </c>
      <c r="C357" s="1">
        <v>43465</v>
      </c>
      <c r="D357">
        <v>1</v>
      </c>
      <c r="E357" t="s">
        <v>20</v>
      </c>
      <c r="F357" t="s">
        <v>485</v>
      </c>
      <c r="G357" s="1">
        <v>43344</v>
      </c>
      <c r="H357" s="2">
        <v>134000</v>
      </c>
      <c r="I357" s="2">
        <f t="shared" si="5"/>
        <v>-133999</v>
      </c>
      <c r="J357">
        <v>1</v>
      </c>
      <c r="K357" t="s">
        <v>23</v>
      </c>
      <c r="L357">
        <v>10700040</v>
      </c>
      <c r="M357" t="s">
        <v>65</v>
      </c>
      <c r="N357">
        <v>33000</v>
      </c>
      <c r="O357" t="s">
        <v>30</v>
      </c>
      <c r="P357" t="s">
        <v>527</v>
      </c>
      <c r="Q357" t="s">
        <v>31</v>
      </c>
      <c r="R357">
        <v>164500</v>
      </c>
      <c r="S357" t="s">
        <v>63</v>
      </c>
      <c r="T357">
        <v>1</v>
      </c>
      <c r="U357">
        <v>0</v>
      </c>
      <c r="V357">
        <v>0</v>
      </c>
      <c r="W357">
        <v>0</v>
      </c>
      <c r="X357">
        <v>0</v>
      </c>
      <c r="Y357" s="2">
        <v>-8099</v>
      </c>
      <c r="Z357" s="2">
        <v>8100</v>
      </c>
      <c r="AA357">
        <v>0</v>
      </c>
    </row>
    <row r="358" spans="1:27" x14ac:dyDescent="0.35">
      <c r="A358">
        <v>3823</v>
      </c>
      <c r="B358">
        <v>0</v>
      </c>
      <c r="C358" s="1">
        <v>43465</v>
      </c>
      <c r="D358">
        <v>1</v>
      </c>
      <c r="E358" t="s">
        <v>20</v>
      </c>
      <c r="F358" t="s">
        <v>485</v>
      </c>
      <c r="G358" s="1">
        <v>43344</v>
      </c>
      <c r="H358" s="2">
        <v>134000</v>
      </c>
      <c r="I358" s="2">
        <f t="shared" si="5"/>
        <v>-133999</v>
      </c>
      <c r="J358">
        <v>1</v>
      </c>
      <c r="K358" t="s">
        <v>23</v>
      </c>
      <c r="L358">
        <v>10700040</v>
      </c>
      <c r="M358" t="s">
        <v>65</v>
      </c>
      <c r="N358">
        <v>33000</v>
      </c>
      <c r="O358" t="s">
        <v>30</v>
      </c>
      <c r="P358" t="s">
        <v>527</v>
      </c>
      <c r="Q358" t="s">
        <v>31</v>
      </c>
      <c r="R358">
        <v>164500</v>
      </c>
      <c r="S358" t="s">
        <v>63</v>
      </c>
      <c r="T358">
        <v>1</v>
      </c>
      <c r="U358">
        <v>0</v>
      </c>
      <c r="V358">
        <v>0</v>
      </c>
      <c r="W358">
        <v>0</v>
      </c>
      <c r="X358">
        <v>0</v>
      </c>
      <c r="Y358" s="2">
        <v>-8099</v>
      </c>
      <c r="Z358" s="2">
        <v>8100</v>
      </c>
      <c r="AA358">
        <v>0</v>
      </c>
    </row>
    <row r="359" spans="1:27" x14ac:dyDescent="0.35">
      <c r="A359">
        <v>3824</v>
      </c>
      <c r="B359">
        <v>0</v>
      </c>
      <c r="C359" s="1">
        <v>43465</v>
      </c>
      <c r="D359">
        <v>1</v>
      </c>
      <c r="E359" t="s">
        <v>20</v>
      </c>
      <c r="F359" t="s">
        <v>486</v>
      </c>
      <c r="G359" s="1">
        <v>43344</v>
      </c>
      <c r="H359" s="2">
        <v>226000</v>
      </c>
      <c r="I359" s="2">
        <f t="shared" si="5"/>
        <v>-225999</v>
      </c>
      <c r="J359">
        <v>1</v>
      </c>
      <c r="K359" t="s">
        <v>23</v>
      </c>
      <c r="L359">
        <v>10700040</v>
      </c>
      <c r="M359" t="s">
        <v>65</v>
      </c>
      <c r="N359">
        <v>33000</v>
      </c>
      <c r="O359" t="s">
        <v>30</v>
      </c>
      <c r="P359" t="s">
        <v>527</v>
      </c>
      <c r="Q359" t="s">
        <v>31</v>
      </c>
      <c r="R359">
        <v>164500</v>
      </c>
      <c r="S359" t="s">
        <v>63</v>
      </c>
      <c r="T359">
        <v>1</v>
      </c>
      <c r="U359">
        <v>0</v>
      </c>
      <c r="V359">
        <v>0</v>
      </c>
      <c r="W359">
        <v>0</v>
      </c>
      <c r="X359">
        <v>0</v>
      </c>
      <c r="Y359" s="2">
        <v>-14003.12</v>
      </c>
      <c r="Z359" s="2">
        <v>14004.12</v>
      </c>
      <c r="AA359">
        <v>0</v>
      </c>
    </row>
    <row r="360" spans="1:27" x14ac:dyDescent="0.35">
      <c r="A360">
        <v>3825</v>
      </c>
      <c r="B360">
        <v>0</v>
      </c>
      <c r="C360" s="1">
        <v>43465</v>
      </c>
      <c r="D360">
        <v>1</v>
      </c>
      <c r="E360" t="s">
        <v>20</v>
      </c>
      <c r="F360" t="s">
        <v>486</v>
      </c>
      <c r="G360" s="1">
        <v>43344</v>
      </c>
      <c r="H360" s="2">
        <v>226000</v>
      </c>
      <c r="I360" s="2">
        <f t="shared" si="5"/>
        <v>-225999</v>
      </c>
      <c r="J360">
        <v>1</v>
      </c>
      <c r="K360" t="s">
        <v>23</v>
      </c>
      <c r="L360">
        <v>10700040</v>
      </c>
      <c r="M360" t="s">
        <v>65</v>
      </c>
      <c r="N360">
        <v>33000</v>
      </c>
      <c r="O360" t="s">
        <v>30</v>
      </c>
      <c r="P360" t="s">
        <v>527</v>
      </c>
      <c r="Q360" t="s">
        <v>31</v>
      </c>
      <c r="R360">
        <v>164500</v>
      </c>
      <c r="S360" t="s">
        <v>63</v>
      </c>
      <c r="T360">
        <v>1</v>
      </c>
      <c r="U360">
        <v>0</v>
      </c>
      <c r="V360">
        <v>0</v>
      </c>
      <c r="W360">
        <v>0</v>
      </c>
      <c r="X360">
        <v>0</v>
      </c>
      <c r="Y360" s="2">
        <v>-14003.11</v>
      </c>
      <c r="Z360" s="2">
        <v>14004.11</v>
      </c>
      <c r="AA360">
        <v>0</v>
      </c>
    </row>
    <row r="361" spans="1:27" x14ac:dyDescent="0.35">
      <c r="A361">
        <v>3826</v>
      </c>
      <c r="B361">
        <v>0</v>
      </c>
      <c r="C361" s="1">
        <v>43465</v>
      </c>
      <c r="D361">
        <v>1</v>
      </c>
      <c r="E361" t="s">
        <v>20</v>
      </c>
      <c r="F361" t="s">
        <v>486</v>
      </c>
      <c r="G361" s="1">
        <v>43344</v>
      </c>
      <c r="H361" s="2">
        <v>226000</v>
      </c>
      <c r="I361" s="2">
        <f t="shared" si="5"/>
        <v>-225999</v>
      </c>
      <c r="J361">
        <v>1</v>
      </c>
      <c r="K361" t="s">
        <v>23</v>
      </c>
      <c r="L361">
        <v>10700040</v>
      </c>
      <c r="M361" t="s">
        <v>65</v>
      </c>
      <c r="N361">
        <v>33000</v>
      </c>
      <c r="O361" t="s">
        <v>30</v>
      </c>
      <c r="P361" t="s">
        <v>527</v>
      </c>
      <c r="Q361" t="s">
        <v>31</v>
      </c>
      <c r="R361">
        <v>164500</v>
      </c>
      <c r="S361" t="s">
        <v>63</v>
      </c>
      <c r="T361">
        <v>1</v>
      </c>
      <c r="U361">
        <v>0</v>
      </c>
      <c r="V361">
        <v>0</v>
      </c>
      <c r="W361">
        <v>0</v>
      </c>
      <c r="X361">
        <v>0</v>
      </c>
      <c r="Y361" s="2">
        <v>-9198</v>
      </c>
      <c r="Z361" s="2">
        <v>9199</v>
      </c>
      <c r="AA361">
        <v>0</v>
      </c>
    </row>
    <row r="362" spans="1:27" x14ac:dyDescent="0.35">
      <c r="A362">
        <v>3827</v>
      </c>
      <c r="B362">
        <v>0</v>
      </c>
      <c r="C362" s="1">
        <v>43465</v>
      </c>
      <c r="D362">
        <v>1</v>
      </c>
      <c r="E362" t="s">
        <v>20</v>
      </c>
      <c r="F362" t="s">
        <v>486</v>
      </c>
      <c r="G362" s="1">
        <v>43344</v>
      </c>
      <c r="H362" s="2">
        <v>226000</v>
      </c>
      <c r="I362" s="2">
        <f t="shared" si="5"/>
        <v>-225999</v>
      </c>
      <c r="J362">
        <v>1</v>
      </c>
      <c r="K362" t="s">
        <v>23</v>
      </c>
      <c r="L362">
        <v>10700040</v>
      </c>
      <c r="M362" t="s">
        <v>65</v>
      </c>
      <c r="N362">
        <v>33000</v>
      </c>
      <c r="O362" t="s">
        <v>30</v>
      </c>
      <c r="P362" t="s">
        <v>527</v>
      </c>
      <c r="Q362" t="s">
        <v>31</v>
      </c>
      <c r="R362">
        <v>164500</v>
      </c>
      <c r="S362" t="s">
        <v>63</v>
      </c>
      <c r="T362">
        <v>1</v>
      </c>
      <c r="U362">
        <v>0</v>
      </c>
      <c r="V362">
        <v>0</v>
      </c>
      <c r="W362">
        <v>0</v>
      </c>
      <c r="X362">
        <v>0</v>
      </c>
      <c r="Y362" s="2">
        <v>-9699</v>
      </c>
      <c r="Z362" s="2">
        <v>9700</v>
      </c>
      <c r="AA362">
        <v>0</v>
      </c>
    </row>
    <row r="363" spans="1:27" x14ac:dyDescent="0.35">
      <c r="A363">
        <v>3985</v>
      </c>
      <c r="B363">
        <v>0</v>
      </c>
      <c r="C363" s="1">
        <v>44135</v>
      </c>
      <c r="D363">
        <v>1</v>
      </c>
      <c r="E363" t="s">
        <v>334</v>
      </c>
      <c r="F363" t="s">
        <v>489</v>
      </c>
      <c r="G363" s="1">
        <v>44136</v>
      </c>
      <c r="H363" s="2">
        <v>102850</v>
      </c>
      <c r="I363" s="2">
        <f t="shared" si="5"/>
        <v>-85709</v>
      </c>
      <c r="J363" s="2">
        <v>17141</v>
      </c>
      <c r="K363" t="s">
        <v>23</v>
      </c>
      <c r="L363">
        <v>10700040</v>
      </c>
      <c r="M363" t="s">
        <v>65</v>
      </c>
      <c r="N363">
        <v>33000</v>
      </c>
      <c r="O363" t="s">
        <v>30</v>
      </c>
      <c r="P363" t="s">
        <v>527</v>
      </c>
      <c r="Q363" t="s">
        <v>31</v>
      </c>
      <c r="R363">
        <v>164500</v>
      </c>
      <c r="S363" t="s">
        <v>63</v>
      </c>
      <c r="T363">
        <v>1</v>
      </c>
      <c r="U363">
        <v>0</v>
      </c>
      <c r="V363">
        <v>0</v>
      </c>
      <c r="W363">
        <v>0</v>
      </c>
      <c r="X363">
        <v>0</v>
      </c>
      <c r="Y363" s="2">
        <v>-8099</v>
      </c>
      <c r="Z363" s="2">
        <v>8100</v>
      </c>
      <c r="AA363">
        <v>0</v>
      </c>
    </row>
    <row r="364" spans="1:27" x14ac:dyDescent="0.35">
      <c r="A364">
        <v>3986</v>
      </c>
      <c r="B364">
        <v>0</v>
      </c>
      <c r="C364" s="1">
        <v>44135</v>
      </c>
      <c r="D364">
        <v>1</v>
      </c>
      <c r="E364" t="s">
        <v>334</v>
      </c>
      <c r="F364" t="s">
        <v>489</v>
      </c>
      <c r="G364" s="1">
        <v>44136</v>
      </c>
      <c r="H364" s="2">
        <v>102850</v>
      </c>
      <c r="I364" s="2">
        <f t="shared" si="5"/>
        <v>-85709</v>
      </c>
      <c r="J364" s="2">
        <v>17141</v>
      </c>
      <c r="K364" t="s">
        <v>23</v>
      </c>
      <c r="L364">
        <v>10700040</v>
      </c>
      <c r="M364" t="s">
        <v>65</v>
      </c>
      <c r="N364">
        <v>33000</v>
      </c>
      <c r="O364" t="s">
        <v>30</v>
      </c>
      <c r="P364" t="s">
        <v>527</v>
      </c>
      <c r="Q364" t="s">
        <v>31</v>
      </c>
      <c r="R364">
        <v>164500</v>
      </c>
      <c r="S364" t="s">
        <v>63</v>
      </c>
      <c r="T364">
        <v>1</v>
      </c>
      <c r="U364">
        <v>0</v>
      </c>
      <c r="V364">
        <v>0</v>
      </c>
      <c r="W364">
        <v>0</v>
      </c>
      <c r="X364">
        <v>0</v>
      </c>
      <c r="Y364" s="2">
        <v>-18049</v>
      </c>
      <c r="Z364" s="2">
        <v>18050</v>
      </c>
      <c r="AA364">
        <v>0</v>
      </c>
    </row>
    <row r="365" spans="1:27" x14ac:dyDescent="0.35">
      <c r="A365">
        <v>3988</v>
      </c>
      <c r="B365">
        <v>0</v>
      </c>
      <c r="C365" s="1">
        <v>44165</v>
      </c>
      <c r="D365">
        <v>1</v>
      </c>
      <c r="E365" t="s">
        <v>334</v>
      </c>
      <c r="F365" t="s">
        <v>490</v>
      </c>
      <c r="G365" s="1">
        <v>44136</v>
      </c>
      <c r="H365" s="2">
        <v>99945</v>
      </c>
      <c r="I365" s="2">
        <f t="shared" si="5"/>
        <v>-83288</v>
      </c>
      <c r="J365" s="2">
        <v>16657</v>
      </c>
      <c r="K365" t="s">
        <v>23</v>
      </c>
      <c r="L365">
        <v>10700040</v>
      </c>
      <c r="M365" t="s">
        <v>65</v>
      </c>
      <c r="N365">
        <v>33000</v>
      </c>
      <c r="O365" t="s">
        <v>30</v>
      </c>
      <c r="P365" t="s">
        <v>527</v>
      </c>
      <c r="Q365" t="s">
        <v>31</v>
      </c>
      <c r="R365">
        <v>164500</v>
      </c>
      <c r="S365" t="s">
        <v>63</v>
      </c>
      <c r="T365">
        <v>1</v>
      </c>
      <c r="U365">
        <v>0</v>
      </c>
      <c r="V365">
        <v>0</v>
      </c>
      <c r="W365">
        <v>0</v>
      </c>
      <c r="X365">
        <v>0</v>
      </c>
      <c r="Y365" s="2">
        <v>-18049</v>
      </c>
      <c r="Z365" s="2">
        <v>18050</v>
      </c>
      <c r="AA365">
        <v>0</v>
      </c>
    </row>
    <row r="366" spans="1:27" x14ac:dyDescent="0.35">
      <c r="A366">
        <v>4059</v>
      </c>
      <c r="B366">
        <v>0</v>
      </c>
      <c r="C366" s="1">
        <v>44408</v>
      </c>
      <c r="D366">
        <v>1</v>
      </c>
      <c r="E366" t="s">
        <v>389</v>
      </c>
      <c r="F366" t="s">
        <v>491</v>
      </c>
      <c r="G366" s="1">
        <v>44409</v>
      </c>
      <c r="H366" s="2">
        <v>198360</v>
      </c>
      <c r="I366" s="2">
        <f t="shared" si="5"/>
        <v>-135546</v>
      </c>
      <c r="J366" s="2">
        <v>62814</v>
      </c>
      <c r="K366" t="s">
        <v>23</v>
      </c>
      <c r="L366">
        <v>10700040</v>
      </c>
      <c r="M366" t="s">
        <v>65</v>
      </c>
      <c r="N366">
        <v>33000</v>
      </c>
      <c r="O366" t="s">
        <v>30</v>
      </c>
      <c r="P366" t="s">
        <v>527</v>
      </c>
      <c r="Q366" t="s">
        <v>31</v>
      </c>
      <c r="R366">
        <v>164500</v>
      </c>
      <c r="S366" t="s">
        <v>63</v>
      </c>
      <c r="T366">
        <v>1</v>
      </c>
      <c r="U366">
        <v>0</v>
      </c>
      <c r="V366">
        <v>0</v>
      </c>
      <c r="W366">
        <v>0</v>
      </c>
      <c r="X366">
        <v>0</v>
      </c>
      <c r="Y366" s="2">
        <v>-22249</v>
      </c>
      <c r="Z366" s="2">
        <v>22250</v>
      </c>
      <c r="AA366">
        <v>0</v>
      </c>
    </row>
    <row r="367" spans="1:27" x14ac:dyDescent="0.35">
      <c r="A367">
        <v>4070</v>
      </c>
      <c r="B367">
        <v>0</v>
      </c>
      <c r="C367" s="1">
        <v>44439</v>
      </c>
      <c r="D367">
        <v>1</v>
      </c>
      <c r="E367" t="s">
        <v>389</v>
      </c>
      <c r="F367" t="s">
        <v>493</v>
      </c>
      <c r="G367" s="1">
        <v>44409</v>
      </c>
      <c r="H367" s="2">
        <v>82440.039999999994</v>
      </c>
      <c r="I367" s="2">
        <f t="shared" si="5"/>
        <v>-56334.039999999994</v>
      </c>
      <c r="J367" s="2">
        <v>26106</v>
      </c>
      <c r="K367" t="s">
        <v>23</v>
      </c>
      <c r="L367">
        <v>10700040</v>
      </c>
      <c r="M367" t="s">
        <v>65</v>
      </c>
      <c r="N367">
        <v>33000</v>
      </c>
      <c r="O367" t="s">
        <v>30</v>
      </c>
      <c r="P367" t="s">
        <v>527</v>
      </c>
      <c r="Q367" t="s">
        <v>31</v>
      </c>
      <c r="R367">
        <v>164500</v>
      </c>
      <c r="S367" t="s">
        <v>63</v>
      </c>
      <c r="T367">
        <v>1</v>
      </c>
      <c r="U367">
        <v>0</v>
      </c>
      <c r="V367">
        <v>0</v>
      </c>
      <c r="W367">
        <v>0</v>
      </c>
      <c r="X367">
        <v>0</v>
      </c>
      <c r="Y367" s="2">
        <v>-150349</v>
      </c>
      <c r="Z367" s="2">
        <v>150350</v>
      </c>
      <c r="AA367">
        <v>0</v>
      </c>
    </row>
    <row r="368" spans="1:27" x14ac:dyDescent="0.35">
      <c r="A368">
        <v>4293</v>
      </c>
      <c r="B368">
        <v>0</v>
      </c>
      <c r="C368" s="1">
        <v>45291</v>
      </c>
      <c r="D368">
        <v>1</v>
      </c>
      <c r="E368" t="s">
        <v>20</v>
      </c>
      <c r="F368" t="s">
        <v>508</v>
      </c>
      <c r="G368" s="1">
        <v>45261</v>
      </c>
      <c r="H368" s="2">
        <v>82279.899999999994</v>
      </c>
      <c r="I368" s="2">
        <f t="shared" si="5"/>
        <v>-29712.899999999994</v>
      </c>
      <c r="J368" s="2">
        <v>52567</v>
      </c>
      <c r="K368" t="s">
        <v>204</v>
      </c>
      <c r="L368">
        <v>10700040</v>
      </c>
      <c r="M368" t="s">
        <v>65</v>
      </c>
      <c r="N368">
        <v>33000</v>
      </c>
      <c r="O368" t="s">
        <v>30</v>
      </c>
      <c r="P368" t="s">
        <v>527</v>
      </c>
      <c r="Q368" t="s">
        <v>31</v>
      </c>
      <c r="R368">
        <v>164500</v>
      </c>
      <c r="S368" t="s">
        <v>63</v>
      </c>
      <c r="T368">
        <v>1</v>
      </c>
      <c r="U368">
        <v>0</v>
      </c>
      <c r="V368">
        <v>0</v>
      </c>
      <c r="W368">
        <v>0</v>
      </c>
      <c r="X368">
        <v>0</v>
      </c>
      <c r="Y368" s="2">
        <v>-169749</v>
      </c>
      <c r="Z368" s="2">
        <v>169750</v>
      </c>
      <c r="AA368">
        <v>0</v>
      </c>
    </row>
    <row r="369" spans="1:27" x14ac:dyDescent="0.35">
      <c r="A369">
        <v>4294</v>
      </c>
      <c r="B369">
        <v>0</v>
      </c>
      <c r="C369" s="1">
        <v>45291</v>
      </c>
      <c r="D369">
        <v>1</v>
      </c>
      <c r="E369" t="s">
        <v>20</v>
      </c>
      <c r="F369" t="s">
        <v>508</v>
      </c>
      <c r="G369" s="1">
        <v>45261</v>
      </c>
      <c r="H369" s="2">
        <v>82279.899999999994</v>
      </c>
      <c r="I369" s="2">
        <f t="shared" si="5"/>
        <v>-29712.899999999994</v>
      </c>
      <c r="J369" s="2">
        <v>52567</v>
      </c>
      <c r="K369" t="s">
        <v>204</v>
      </c>
      <c r="L369">
        <v>10700040</v>
      </c>
      <c r="M369" t="s">
        <v>65</v>
      </c>
      <c r="N369">
        <v>33000</v>
      </c>
      <c r="O369" t="s">
        <v>30</v>
      </c>
      <c r="P369" t="s">
        <v>527</v>
      </c>
      <c r="Q369" t="s">
        <v>31</v>
      </c>
      <c r="R369">
        <v>164500</v>
      </c>
      <c r="S369" t="s">
        <v>63</v>
      </c>
      <c r="T369">
        <v>1</v>
      </c>
      <c r="U369">
        <v>0</v>
      </c>
      <c r="V369">
        <v>0</v>
      </c>
      <c r="W369">
        <v>0</v>
      </c>
      <c r="X369">
        <v>0</v>
      </c>
      <c r="Y369" s="2">
        <v>-70784.52</v>
      </c>
      <c r="Z369" s="2">
        <v>70785.52</v>
      </c>
      <c r="AA369">
        <v>0</v>
      </c>
    </row>
    <row r="370" spans="1:27" x14ac:dyDescent="0.35">
      <c r="A370">
        <v>4392</v>
      </c>
      <c r="B370">
        <v>0</v>
      </c>
      <c r="C370" s="1">
        <v>45626</v>
      </c>
      <c r="D370">
        <v>1</v>
      </c>
      <c r="E370" t="s">
        <v>20</v>
      </c>
      <c r="F370" t="s">
        <v>515</v>
      </c>
      <c r="G370" s="1">
        <v>45566</v>
      </c>
      <c r="H370" s="2">
        <v>149470</v>
      </c>
      <c r="I370" s="2">
        <f t="shared" si="5"/>
        <v>-7474</v>
      </c>
      <c r="J370" s="2">
        <v>141996</v>
      </c>
      <c r="K370" t="s">
        <v>23</v>
      </c>
      <c r="L370">
        <v>10700040</v>
      </c>
      <c r="M370" t="s">
        <v>65</v>
      </c>
      <c r="N370">
        <v>33000</v>
      </c>
      <c r="O370" t="s">
        <v>30</v>
      </c>
      <c r="P370" t="s">
        <v>527</v>
      </c>
      <c r="Q370" t="s">
        <v>31</v>
      </c>
      <c r="R370">
        <v>164500</v>
      </c>
      <c r="S370" t="s">
        <v>63</v>
      </c>
      <c r="T370">
        <v>1</v>
      </c>
      <c r="U370">
        <v>0</v>
      </c>
      <c r="V370">
        <v>0</v>
      </c>
      <c r="W370">
        <v>0</v>
      </c>
      <c r="X370">
        <v>0</v>
      </c>
      <c r="Y370" s="2">
        <v>-70784.52</v>
      </c>
      <c r="Z370" s="2">
        <v>70785.52</v>
      </c>
      <c r="AA370">
        <v>0</v>
      </c>
    </row>
    <row r="371" spans="1:27" x14ac:dyDescent="0.35">
      <c r="A371">
        <v>4395</v>
      </c>
      <c r="B371">
        <v>0</v>
      </c>
      <c r="C371" s="1">
        <v>45657</v>
      </c>
      <c r="D371">
        <v>1</v>
      </c>
      <c r="E371" t="s">
        <v>389</v>
      </c>
      <c r="F371" t="s">
        <v>516</v>
      </c>
      <c r="G371" s="1">
        <v>45627</v>
      </c>
      <c r="H371" s="2">
        <v>74300</v>
      </c>
      <c r="I371" s="2">
        <f t="shared" si="5"/>
        <v>-1239</v>
      </c>
      <c r="J371" s="2">
        <v>73061</v>
      </c>
      <c r="K371" t="s">
        <v>23</v>
      </c>
      <c r="L371">
        <v>10700040</v>
      </c>
      <c r="M371" t="s">
        <v>65</v>
      </c>
      <c r="N371">
        <v>33000</v>
      </c>
      <c r="O371" t="s">
        <v>30</v>
      </c>
      <c r="P371" t="s">
        <v>527</v>
      </c>
      <c r="Q371" t="s">
        <v>31</v>
      </c>
      <c r="R371">
        <v>164500</v>
      </c>
      <c r="S371" t="s">
        <v>63</v>
      </c>
      <c r="T371">
        <v>1</v>
      </c>
      <c r="U371">
        <v>0</v>
      </c>
      <c r="V371">
        <v>0</v>
      </c>
      <c r="W371">
        <v>0</v>
      </c>
      <c r="X371">
        <v>0</v>
      </c>
      <c r="Y371" s="2">
        <v>-39329.51</v>
      </c>
      <c r="Z371" s="2">
        <v>39330.51</v>
      </c>
      <c r="AA371">
        <v>0</v>
      </c>
    </row>
    <row r="372" spans="1:27" x14ac:dyDescent="0.35">
      <c r="A372">
        <v>4396</v>
      </c>
      <c r="B372">
        <v>0</v>
      </c>
      <c r="C372" s="1">
        <v>45657</v>
      </c>
      <c r="D372">
        <v>1</v>
      </c>
      <c r="E372" t="s">
        <v>389</v>
      </c>
      <c r="F372" t="s">
        <v>516</v>
      </c>
      <c r="G372" s="1">
        <v>45627</v>
      </c>
      <c r="H372" s="2">
        <v>74300</v>
      </c>
      <c r="I372" s="2">
        <f t="shared" si="5"/>
        <v>-1239</v>
      </c>
      <c r="J372" s="2">
        <v>73061</v>
      </c>
      <c r="K372" t="s">
        <v>23</v>
      </c>
      <c r="L372">
        <v>10700040</v>
      </c>
      <c r="M372" t="s">
        <v>65</v>
      </c>
      <c r="N372">
        <v>33000</v>
      </c>
      <c r="O372" t="s">
        <v>30</v>
      </c>
      <c r="P372" t="s">
        <v>527</v>
      </c>
      <c r="Q372" t="s">
        <v>31</v>
      </c>
      <c r="R372">
        <v>164500</v>
      </c>
      <c r="S372" t="s">
        <v>63</v>
      </c>
      <c r="T372">
        <v>1</v>
      </c>
      <c r="U372">
        <v>0</v>
      </c>
      <c r="V372">
        <v>0</v>
      </c>
      <c r="W372">
        <v>0</v>
      </c>
      <c r="X372">
        <v>0</v>
      </c>
      <c r="Y372" s="2">
        <v>-13499</v>
      </c>
      <c r="Z372" s="2">
        <v>13500</v>
      </c>
      <c r="AA372">
        <v>0</v>
      </c>
    </row>
    <row r="373" spans="1:27" x14ac:dyDescent="0.35">
      <c r="A373">
        <v>4399</v>
      </c>
      <c r="B373">
        <v>0</v>
      </c>
      <c r="C373" s="1">
        <v>45657</v>
      </c>
      <c r="D373">
        <v>1</v>
      </c>
      <c r="E373" t="s">
        <v>334</v>
      </c>
      <c r="F373" t="s">
        <v>518</v>
      </c>
      <c r="G373" s="1">
        <v>45566</v>
      </c>
      <c r="H373" s="2">
        <v>82819.990000000005</v>
      </c>
      <c r="I373" s="2">
        <f t="shared" si="5"/>
        <v>-4140.9900000000052</v>
      </c>
      <c r="J373" s="2">
        <v>78679</v>
      </c>
      <c r="K373" t="s">
        <v>23</v>
      </c>
      <c r="L373">
        <v>10700040</v>
      </c>
      <c r="M373" t="s">
        <v>65</v>
      </c>
      <c r="N373">
        <v>33000</v>
      </c>
      <c r="O373" t="s">
        <v>30</v>
      </c>
      <c r="P373" t="s">
        <v>527</v>
      </c>
      <c r="Q373" t="s">
        <v>31</v>
      </c>
      <c r="R373">
        <v>164500</v>
      </c>
      <c r="S373" t="s">
        <v>63</v>
      </c>
      <c r="T373">
        <v>1</v>
      </c>
      <c r="U373">
        <v>0</v>
      </c>
      <c r="V373">
        <v>0</v>
      </c>
      <c r="W373">
        <v>0</v>
      </c>
      <c r="X373">
        <v>0</v>
      </c>
      <c r="Y373" s="2">
        <v>-16749</v>
      </c>
      <c r="Z373" s="2">
        <v>16750</v>
      </c>
      <c r="AA373">
        <v>0</v>
      </c>
    </row>
    <row r="374" spans="1:27" x14ac:dyDescent="0.35">
      <c r="A374">
        <v>4400</v>
      </c>
      <c r="B374">
        <v>0</v>
      </c>
      <c r="C374" s="1">
        <v>45657</v>
      </c>
      <c r="D374">
        <v>1</v>
      </c>
      <c r="E374" t="s">
        <v>334</v>
      </c>
      <c r="F374" t="s">
        <v>518</v>
      </c>
      <c r="G374" s="1">
        <v>45566</v>
      </c>
      <c r="H374" s="2">
        <v>82819.990000000005</v>
      </c>
      <c r="I374" s="2">
        <f t="shared" si="5"/>
        <v>-4140.9900000000052</v>
      </c>
      <c r="J374" s="2">
        <v>78679</v>
      </c>
      <c r="K374" t="s">
        <v>23</v>
      </c>
      <c r="L374">
        <v>10700040</v>
      </c>
      <c r="M374" t="s">
        <v>65</v>
      </c>
      <c r="N374">
        <v>33000</v>
      </c>
      <c r="O374" t="s">
        <v>30</v>
      </c>
      <c r="P374" t="s">
        <v>527</v>
      </c>
      <c r="Q374" t="s">
        <v>31</v>
      </c>
      <c r="R374">
        <v>164500</v>
      </c>
      <c r="S374" t="s">
        <v>63</v>
      </c>
      <c r="T374">
        <v>1</v>
      </c>
      <c r="U374">
        <v>0</v>
      </c>
      <c r="V374">
        <v>0</v>
      </c>
      <c r="W374">
        <v>0</v>
      </c>
      <c r="X374">
        <v>0</v>
      </c>
      <c r="Y374" s="2">
        <v>-29319.31</v>
      </c>
      <c r="Z374" s="2">
        <v>29320.31</v>
      </c>
      <c r="AA374">
        <v>0</v>
      </c>
    </row>
    <row r="375" spans="1:27" x14ac:dyDescent="0.35">
      <c r="A375">
        <v>4401</v>
      </c>
      <c r="B375">
        <v>0</v>
      </c>
      <c r="C375" s="1">
        <v>45657</v>
      </c>
      <c r="D375">
        <v>1</v>
      </c>
      <c r="E375" t="s">
        <v>334</v>
      </c>
      <c r="F375" t="s">
        <v>518</v>
      </c>
      <c r="G375" s="1">
        <v>45627</v>
      </c>
      <c r="H375" s="2">
        <v>82819.990000000005</v>
      </c>
      <c r="I375" s="2">
        <f t="shared" si="5"/>
        <v>-1380.9900000000052</v>
      </c>
      <c r="J375" s="2">
        <v>81439</v>
      </c>
      <c r="K375" t="s">
        <v>23</v>
      </c>
      <c r="L375">
        <v>10700040</v>
      </c>
      <c r="M375" t="s">
        <v>65</v>
      </c>
      <c r="N375">
        <v>33000</v>
      </c>
      <c r="O375" t="s">
        <v>30</v>
      </c>
      <c r="P375" t="s">
        <v>527</v>
      </c>
      <c r="Q375" t="s">
        <v>31</v>
      </c>
      <c r="R375">
        <v>164500</v>
      </c>
      <c r="S375" t="s">
        <v>63</v>
      </c>
      <c r="T375">
        <v>1</v>
      </c>
      <c r="U375">
        <v>0</v>
      </c>
      <c r="V375">
        <v>0</v>
      </c>
      <c r="W375">
        <v>0</v>
      </c>
      <c r="X375">
        <v>0</v>
      </c>
      <c r="Y375" s="2">
        <v>-6284</v>
      </c>
      <c r="Z375" s="2">
        <v>6285</v>
      </c>
      <c r="AA375">
        <v>0</v>
      </c>
    </row>
    <row r="376" spans="1:27" x14ac:dyDescent="0.35">
      <c r="A376">
        <v>4402</v>
      </c>
      <c r="B376">
        <v>0</v>
      </c>
      <c r="C376" s="1">
        <v>45657</v>
      </c>
      <c r="D376">
        <v>1</v>
      </c>
      <c r="E376" t="s">
        <v>334</v>
      </c>
      <c r="F376" t="s">
        <v>518</v>
      </c>
      <c r="G376" s="1">
        <v>45627</v>
      </c>
      <c r="H376" s="2">
        <v>82819.990000000005</v>
      </c>
      <c r="I376" s="2">
        <f t="shared" si="5"/>
        <v>-1380.9900000000052</v>
      </c>
      <c r="J376" s="2">
        <v>81439</v>
      </c>
      <c r="K376" t="s">
        <v>23</v>
      </c>
      <c r="L376">
        <v>10700040</v>
      </c>
      <c r="M376" t="s">
        <v>65</v>
      </c>
      <c r="N376">
        <v>33000</v>
      </c>
      <c r="O376" t="s">
        <v>30</v>
      </c>
      <c r="P376" t="s">
        <v>527</v>
      </c>
      <c r="Q376" t="s">
        <v>31</v>
      </c>
      <c r="R376">
        <v>164500</v>
      </c>
      <c r="S376" t="s">
        <v>63</v>
      </c>
      <c r="T376">
        <v>1</v>
      </c>
      <c r="U376">
        <v>0</v>
      </c>
      <c r="V376">
        <v>0</v>
      </c>
      <c r="W376">
        <v>0</v>
      </c>
      <c r="X376">
        <v>0</v>
      </c>
      <c r="Y376" s="2">
        <v>-8189</v>
      </c>
      <c r="Z376" s="2">
        <v>8190</v>
      </c>
      <c r="AA376">
        <v>0</v>
      </c>
    </row>
    <row r="377" spans="1:27" x14ac:dyDescent="0.35">
      <c r="A377">
        <v>4403</v>
      </c>
      <c r="B377">
        <v>0</v>
      </c>
      <c r="C377" s="1">
        <v>45657</v>
      </c>
      <c r="D377">
        <v>1</v>
      </c>
      <c r="E377" t="s">
        <v>334</v>
      </c>
      <c r="F377" t="s">
        <v>518</v>
      </c>
      <c r="G377" s="1">
        <v>45627</v>
      </c>
      <c r="H377" s="2">
        <v>82819.990000000005</v>
      </c>
      <c r="I377" s="2">
        <f t="shared" si="5"/>
        <v>-1380.9900000000052</v>
      </c>
      <c r="J377" s="2">
        <v>81439</v>
      </c>
      <c r="K377" t="s">
        <v>23</v>
      </c>
      <c r="L377">
        <v>10700040</v>
      </c>
      <c r="M377" t="s">
        <v>65</v>
      </c>
      <c r="N377">
        <v>33000</v>
      </c>
      <c r="O377" t="s">
        <v>30</v>
      </c>
      <c r="P377" t="s">
        <v>527</v>
      </c>
      <c r="Q377" t="s">
        <v>31</v>
      </c>
      <c r="R377">
        <v>164500</v>
      </c>
      <c r="S377" t="s">
        <v>63</v>
      </c>
      <c r="T377">
        <v>1</v>
      </c>
      <c r="U377">
        <v>0</v>
      </c>
      <c r="V377">
        <v>0</v>
      </c>
      <c r="W377">
        <v>0</v>
      </c>
      <c r="X377">
        <v>0</v>
      </c>
      <c r="Y377" s="2">
        <v>-7499</v>
      </c>
      <c r="Z377" s="2">
        <v>7500</v>
      </c>
      <c r="AA377">
        <v>0</v>
      </c>
    </row>
    <row r="378" spans="1:27" x14ac:dyDescent="0.35">
      <c r="A378">
        <v>4404</v>
      </c>
      <c r="B378">
        <v>0</v>
      </c>
      <c r="C378" s="1">
        <v>45657</v>
      </c>
      <c r="D378">
        <v>1</v>
      </c>
      <c r="E378" t="s">
        <v>334</v>
      </c>
      <c r="F378" t="s">
        <v>518</v>
      </c>
      <c r="G378" s="1">
        <v>45627</v>
      </c>
      <c r="H378" s="2">
        <v>82819.990000000005</v>
      </c>
      <c r="I378" s="2">
        <f t="shared" si="5"/>
        <v>-1380.9900000000052</v>
      </c>
      <c r="J378" s="2">
        <v>81439</v>
      </c>
      <c r="K378" t="s">
        <v>23</v>
      </c>
      <c r="L378">
        <v>10700040</v>
      </c>
      <c r="M378" t="s">
        <v>65</v>
      </c>
      <c r="N378">
        <v>33000</v>
      </c>
      <c r="O378" t="s">
        <v>30</v>
      </c>
      <c r="P378" t="s">
        <v>527</v>
      </c>
      <c r="Q378" t="s">
        <v>31</v>
      </c>
      <c r="R378">
        <v>164500</v>
      </c>
      <c r="S378" t="s">
        <v>63</v>
      </c>
      <c r="T378">
        <v>1</v>
      </c>
      <c r="U378">
        <v>0</v>
      </c>
      <c r="V378">
        <v>0</v>
      </c>
      <c r="W378">
        <v>0</v>
      </c>
      <c r="X378">
        <v>0</v>
      </c>
      <c r="Y378" s="2">
        <v>-8418.75</v>
      </c>
      <c r="Z378" s="2">
        <v>8419.75</v>
      </c>
      <c r="AA378">
        <v>0</v>
      </c>
    </row>
    <row r="379" spans="1:27" x14ac:dyDescent="0.35">
      <c r="A379">
        <v>4405</v>
      </c>
      <c r="B379">
        <v>0</v>
      </c>
      <c r="C379" s="1">
        <v>45657</v>
      </c>
      <c r="D379">
        <v>1</v>
      </c>
      <c r="E379" t="s">
        <v>334</v>
      </c>
      <c r="F379" t="s">
        <v>518</v>
      </c>
      <c r="G379" s="1">
        <v>45627</v>
      </c>
      <c r="H379" s="2">
        <v>82819.990000000005</v>
      </c>
      <c r="I379" s="2">
        <f t="shared" si="5"/>
        <v>-1380.9900000000052</v>
      </c>
      <c r="J379" s="2">
        <v>81439</v>
      </c>
      <c r="K379" t="s">
        <v>23</v>
      </c>
      <c r="L379">
        <v>10700040</v>
      </c>
      <c r="M379" t="s">
        <v>65</v>
      </c>
      <c r="N379">
        <v>33000</v>
      </c>
      <c r="O379" t="s">
        <v>30</v>
      </c>
      <c r="P379" t="s">
        <v>527</v>
      </c>
      <c r="Q379" t="s">
        <v>31</v>
      </c>
      <c r="R379">
        <v>164500</v>
      </c>
      <c r="S379" t="s">
        <v>63</v>
      </c>
      <c r="T379" s="2">
        <v>160890</v>
      </c>
      <c r="U379">
        <v>0</v>
      </c>
      <c r="V379" s="2">
        <v>-28818</v>
      </c>
      <c r="W379">
        <v>0</v>
      </c>
      <c r="X379" s="2">
        <v>-28818</v>
      </c>
      <c r="Y379" s="2">
        <v>-271369.82</v>
      </c>
      <c r="Z379" s="2">
        <v>432259.82</v>
      </c>
      <c r="AA379">
        <v>0</v>
      </c>
    </row>
    <row r="380" spans="1:27" x14ac:dyDescent="0.35">
      <c r="A380">
        <v>4406</v>
      </c>
      <c r="B380">
        <v>0</v>
      </c>
      <c r="C380" s="1">
        <v>45657</v>
      </c>
      <c r="D380">
        <v>1</v>
      </c>
      <c r="E380" t="s">
        <v>334</v>
      </c>
      <c r="F380" t="s">
        <v>518</v>
      </c>
      <c r="G380" s="1">
        <v>45627</v>
      </c>
      <c r="H380" s="2">
        <v>82819.990000000005</v>
      </c>
      <c r="I380" s="2">
        <f t="shared" si="5"/>
        <v>-1380.9900000000052</v>
      </c>
      <c r="J380" s="2">
        <v>81439</v>
      </c>
      <c r="K380" t="s">
        <v>23</v>
      </c>
      <c r="L380">
        <v>10700040</v>
      </c>
      <c r="M380" t="s">
        <v>65</v>
      </c>
      <c r="N380">
        <v>33000</v>
      </c>
      <c r="O380" t="s">
        <v>30</v>
      </c>
      <c r="P380" t="s">
        <v>527</v>
      </c>
      <c r="Q380" t="s">
        <v>31</v>
      </c>
      <c r="R380">
        <v>164500</v>
      </c>
      <c r="S380" t="s">
        <v>63</v>
      </c>
      <c r="T380" s="2">
        <v>160890</v>
      </c>
      <c r="U380">
        <v>0</v>
      </c>
      <c r="V380" s="2">
        <v>-28818</v>
      </c>
      <c r="W380">
        <v>0</v>
      </c>
      <c r="X380" s="2">
        <v>-28818</v>
      </c>
      <c r="Y380" s="2">
        <v>-271369.82</v>
      </c>
      <c r="Z380" s="2">
        <v>432259.82</v>
      </c>
      <c r="AA380">
        <v>0</v>
      </c>
    </row>
    <row r="381" spans="1:27" x14ac:dyDescent="0.35">
      <c r="A381">
        <v>4407</v>
      </c>
      <c r="B381">
        <v>0</v>
      </c>
      <c r="C381" s="1">
        <v>45657</v>
      </c>
      <c r="D381">
        <v>1</v>
      </c>
      <c r="E381" t="s">
        <v>334</v>
      </c>
      <c r="F381" t="s">
        <v>518</v>
      </c>
      <c r="G381" s="1">
        <v>45627</v>
      </c>
      <c r="H381" s="2">
        <v>82819.990000000005</v>
      </c>
      <c r="I381" s="2">
        <f t="shared" si="5"/>
        <v>-1380.9900000000052</v>
      </c>
      <c r="J381" s="2">
        <v>81439</v>
      </c>
      <c r="K381" t="s">
        <v>23</v>
      </c>
      <c r="L381">
        <v>10700040</v>
      </c>
      <c r="M381" t="s">
        <v>65</v>
      </c>
      <c r="N381">
        <v>33000</v>
      </c>
      <c r="O381" t="s">
        <v>30</v>
      </c>
      <c r="P381" t="s">
        <v>527</v>
      </c>
      <c r="Q381" t="s">
        <v>31</v>
      </c>
      <c r="R381">
        <v>164500</v>
      </c>
      <c r="S381" t="s">
        <v>63</v>
      </c>
      <c r="T381" s="2">
        <v>160890</v>
      </c>
      <c r="U381">
        <v>0</v>
      </c>
      <c r="V381" s="2">
        <v>-28818</v>
      </c>
      <c r="W381">
        <v>0</v>
      </c>
      <c r="X381" s="2">
        <v>-28818</v>
      </c>
      <c r="Y381" s="2">
        <v>-271369.82</v>
      </c>
      <c r="Z381" s="2">
        <v>432259.82</v>
      </c>
      <c r="AA381">
        <v>0</v>
      </c>
    </row>
    <row r="382" spans="1:27" x14ac:dyDescent="0.35">
      <c r="A382">
        <v>4408</v>
      </c>
      <c r="B382">
        <v>0</v>
      </c>
      <c r="C382" s="1">
        <v>45657</v>
      </c>
      <c r="D382">
        <v>1</v>
      </c>
      <c r="E382" t="s">
        <v>334</v>
      </c>
      <c r="F382" t="s">
        <v>518</v>
      </c>
      <c r="G382" s="1">
        <v>45627</v>
      </c>
      <c r="H382" s="2">
        <v>82819.990000000005</v>
      </c>
      <c r="I382" s="2">
        <f t="shared" si="5"/>
        <v>-1380.9900000000052</v>
      </c>
      <c r="J382" s="2">
        <v>81439</v>
      </c>
      <c r="K382" t="s">
        <v>23</v>
      </c>
      <c r="L382">
        <v>10700040</v>
      </c>
      <c r="M382" t="s">
        <v>65</v>
      </c>
      <c r="N382">
        <v>33000</v>
      </c>
      <c r="O382" t="s">
        <v>30</v>
      </c>
      <c r="P382" t="s">
        <v>527</v>
      </c>
      <c r="Q382" t="s">
        <v>31</v>
      </c>
      <c r="R382">
        <v>164500</v>
      </c>
      <c r="S382" t="s">
        <v>63</v>
      </c>
      <c r="T382" s="2">
        <v>160890</v>
      </c>
      <c r="U382">
        <v>0</v>
      </c>
      <c r="V382" s="2">
        <v>-28818</v>
      </c>
      <c r="W382">
        <v>0</v>
      </c>
      <c r="X382" s="2">
        <v>-28818</v>
      </c>
      <c r="Y382" s="2">
        <v>-271369.82</v>
      </c>
      <c r="Z382" s="2">
        <v>432259.82</v>
      </c>
      <c r="AA382">
        <v>0</v>
      </c>
    </row>
    <row r="383" spans="1:27" x14ac:dyDescent="0.35">
      <c r="A383">
        <v>4409</v>
      </c>
      <c r="B383">
        <v>0</v>
      </c>
      <c r="C383" s="1">
        <v>45657</v>
      </c>
      <c r="D383">
        <v>1</v>
      </c>
      <c r="E383" t="s">
        <v>334</v>
      </c>
      <c r="F383" t="s">
        <v>518</v>
      </c>
      <c r="G383" s="1">
        <v>45627</v>
      </c>
      <c r="H383" s="2">
        <v>82819.990000000005</v>
      </c>
      <c r="I383" s="2">
        <f t="shared" si="5"/>
        <v>-1380.9900000000052</v>
      </c>
      <c r="J383" s="2">
        <v>81439</v>
      </c>
      <c r="K383" t="s">
        <v>23</v>
      </c>
      <c r="L383">
        <v>10700040</v>
      </c>
      <c r="M383" t="s">
        <v>65</v>
      </c>
      <c r="N383">
        <v>33000</v>
      </c>
      <c r="O383" t="s">
        <v>30</v>
      </c>
      <c r="P383" t="s">
        <v>527</v>
      </c>
      <c r="Q383" t="s">
        <v>31</v>
      </c>
      <c r="R383">
        <v>164500</v>
      </c>
      <c r="S383" t="s">
        <v>63</v>
      </c>
      <c r="T383" s="2">
        <v>160995</v>
      </c>
      <c r="U383">
        <v>0</v>
      </c>
      <c r="V383" s="2">
        <v>-28835</v>
      </c>
      <c r="W383">
        <v>0</v>
      </c>
      <c r="X383" s="2">
        <v>-28835</v>
      </c>
      <c r="Y383" s="2">
        <v>-271529.51</v>
      </c>
      <c r="Z383" s="2">
        <v>432524.51</v>
      </c>
      <c r="AA383">
        <v>0</v>
      </c>
    </row>
    <row r="384" spans="1:27" x14ac:dyDescent="0.35">
      <c r="A384">
        <v>4410</v>
      </c>
      <c r="B384">
        <v>0</v>
      </c>
      <c r="C384" s="1">
        <v>45657</v>
      </c>
      <c r="D384">
        <v>1</v>
      </c>
      <c r="E384" t="s">
        <v>389</v>
      </c>
      <c r="F384" t="s">
        <v>519</v>
      </c>
      <c r="G384" s="1">
        <v>45627</v>
      </c>
      <c r="H384" s="2">
        <v>420180</v>
      </c>
      <c r="I384" s="2">
        <f t="shared" si="5"/>
        <v>-7003</v>
      </c>
      <c r="J384" s="2">
        <v>413177</v>
      </c>
      <c r="K384" t="s">
        <v>23</v>
      </c>
      <c r="L384">
        <v>10700040</v>
      </c>
      <c r="M384" t="s">
        <v>65</v>
      </c>
      <c r="N384">
        <v>33000</v>
      </c>
      <c r="O384" t="s">
        <v>30</v>
      </c>
      <c r="P384" t="s">
        <v>527</v>
      </c>
      <c r="Q384" t="s">
        <v>31</v>
      </c>
      <c r="R384">
        <v>164500</v>
      </c>
      <c r="S384" t="s">
        <v>63</v>
      </c>
      <c r="T384" s="2">
        <v>160995</v>
      </c>
      <c r="U384">
        <v>0</v>
      </c>
      <c r="V384" s="2">
        <v>-28835</v>
      </c>
      <c r="W384">
        <v>0</v>
      </c>
      <c r="X384" s="2">
        <v>-28835</v>
      </c>
      <c r="Y384" s="2">
        <v>-271529.51</v>
      </c>
      <c r="Z384" s="2">
        <v>432524.51</v>
      </c>
      <c r="AA384">
        <v>0</v>
      </c>
    </row>
    <row r="385" spans="1:27" x14ac:dyDescent="0.35">
      <c r="A385">
        <v>4411</v>
      </c>
      <c r="B385">
        <v>0</v>
      </c>
      <c r="C385" s="1">
        <v>45657</v>
      </c>
      <c r="D385">
        <v>1</v>
      </c>
      <c r="E385" t="s">
        <v>389</v>
      </c>
      <c r="F385" t="s">
        <v>519</v>
      </c>
      <c r="G385" s="1">
        <v>45627</v>
      </c>
      <c r="H385" s="2">
        <v>420180</v>
      </c>
      <c r="I385" s="2">
        <f t="shared" si="5"/>
        <v>-7003</v>
      </c>
      <c r="J385" s="2">
        <v>413177</v>
      </c>
      <c r="K385" t="s">
        <v>23</v>
      </c>
      <c r="L385">
        <v>10700040</v>
      </c>
      <c r="M385" t="s">
        <v>65</v>
      </c>
      <c r="N385">
        <v>33000</v>
      </c>
      <c r="O385" t="s">
        <v>30</v>
      </c>
      <c r="P385" t="s">
        <v>527</v>
      </c>
      <c r="Q385" t="s">
        <v>31</v>
      </c>
      <c r="R385">
        <v>164500</v>
      </c>
      <c r="S385" t="s">
        <v>63</v>
      </c>
      <c r="T385">
        <v>1</v>
      </c>
      <c r="U385">
        <v>0</v>
      </c>
      <c r="V385">
        <v>0</v>
      </c>
      <c r="W385">
        <v>0</v>
      </c>
      <c r="X385">
        <v>0</v>
      </c>
      <c r="Y385" s="2">
        <v>-13499</v>
      </c>
      <c r="Z385" s="2">
        <v>13500</v>
      </c>
      <c r="AA385">
        <v>0</v>
      </c>
    </row>
    <row r="386" spans="1:27" x14ac:dyDescent="0.35">
      <c r="A386">
        <v>2608</v>
      </c>
      <c r="B386">
        <v>0</v>
      </c>
      <c r="C386" s="1">
        <v>31162</v>
      </c>
      <c r="D386">
        <v>1</v>
      </c>
      <c r="E386" t="s">
        <v>20</v>
      </c>
      <c r="F386" t="s">
        <v>61</v>
      </c>
      <c r="G386" s="1">
        <v>31162</v>
      </c>
      <c r="H386" s="2">
        <v>85011.39</v>
      </c>
      <c r="I386" s="2">
        <f t="shared" ref="I386:I449" si="6">J386-H386</f>
        <v>-85010.39</v>
      </c>
      <c r="J386">
        <v>1</v>
      </c>
      <c r="K386" t="s">
        <v>23</v>
      </c>
      <c r="L386">
        <v>30700040</v>
      </c>
      <c r="M386" t="s">
        <v>62</v>
      </c>
      <c r="N386">
        <v>23500</v>
      </c>
      <c r="O386" t="s">
        <v>51</v>
      </c>
      <c r="P386" t="s">
        <v>26</v>
      </c>
      <c r="Q386" t="s">
        <v>26</v>
      </c>
      <c r="R386">
        <v>164500</v>
      </c>
      <c r="S386" t="s">
        <v>63</v>
      </c>
      <c r="T386">
        <v>1</v>
      </c>
      <c r="U386">
        <v>0</v>
      </c>
      <c r="V386">
        <v>0</v>
      </c>
      <c r="W386">
        <v>0</v>
      </c>
      <c r="X386">
        <v>0</v>
      </c>
      <c r="Y386" s="2">
        <v>-16999</v>
      </c>
      <c r="Z386" s="2">
        <v>17000</v>
      </c>
      <c r="AA386">
        <v>0</v>
      </c>
    </row>
    <row r="387" spans="1:27" x14ac:dyDescent="0.35">
      <c r="A387">
        <v>2607</v>
      </c>
      <c r="B387">
        <v>0</v>
      </c>
      <c r="C387" s="1">
        <v>31537</v>
      </c>
      <c r="D387">
        <v>1</v>
      </c>
      <c r="E387" t="s">
        <v>20</v>
      </c>
      <c r="F387" t="s">
        <v>73</v>
      </c>
      <c r="G387" s="1">
        <v>31537</v>
      </c>
      <c r="H387" s="2">
        <v>5083.22</v>
      </c>
      <c r="I387" s="2">
        <f t="shared" si="6"/>
        <v>-5082.22</v>
      </c>
      <c r="J387">
        <v>1</v>
      </c>
      <c r="K387" t="s">
        <v>23</v>
      </c>
      <c r="L387">
        <v>30700040</v>
      </c>
      <c r="M387" t="s">
        <v>62</v>
      </c>
      <c r="N387">
        <v>23500</v>
      </c>
      <c r="O387" t="s">
        <v>51</v>
      </c>
      <c r="P387" t="s">
        <v>26</v>
      </c>
      <c r="Q387" t="s">
        <v>26</v>
      </c>
      <c r="R387">
        <v>164500</v>
      </c>
      <c r="S387" t="s">
        <v>63</v>
      </c>
      <c r="T387">
        <v>1</v>
      </c>
      <c r="U387">
        <v>0</v>
      </c>
      <c r="V387">
        <v>0</v>
      </c>
      <c r="W387">
        <v>0</v>
      </c>
      <c r="X387">
        <v>0</v>
      </c>
      <c r="Y387" s="2">
        <v>-12999</v>
      </c>
      <c r="Z387" s="2">
        <v>13000</v>
      </c>
      <c r="AA387">
        <v>0</v>
      </c>
    </row>
    <row r="388" spans="1:27" x14ac:dyDescent="0.35">
      <c r="A388">
        <v>2604</v>
      </c>
      <c r="B388">
        <v>0</v>
      </c>
      <c r="C388" s="1">
        <v>31777</v>
      </c>
      <c r="D388">
        <v>1</v>
      </c>
      <c r="E388" t="s">
        <v>20</v>
      </c>
      <c r="F388" t="s">
        <v>82</v>
      </c>
      <c r="G388" s="1">
        <v>31777</v>
      </c>
      <c r="H388" s="2">
        <v>17458</v>
      </c>
      <c r="I388" s="2">
        <f t="shared" si="6"/>
        <v>-17457</v>
      </c>
      <c r="J388">
        <v>1</v>
      </c>
      <c r="K388" t="s">
        <v>23</v>
      </c>
      <c r="L388">
        <v>30700040</v>
      </c>
      <c r="M388" t="s">
        <v>62</v>
      </c>
      <c r="N388">
        <v>23500</v>
      </c>
      <c r="O388" t="s">
        <v>51</v>
      </c>
      <c r="P388" t="s">
        <v>26</v>
      </c>
      <c r="Q388" t="s">
        <v>26</v>
      </c>
      <c r="R388">
        <v>164500</v>
      </c>
      <c r="S388" t="s">
        <v>63</v>
      </c>
      <c r="T388">
        <v>1</v>
      </c>
      <c r="U388">
        <v>0</v>
      </c>
      <c r="V388">
        <v>0</v>
      </c>
      <c r="W388">
        <v>0</v>
      </c>
      <c r="X388">
        <v>0</v>
      </c>
      <c r="Y388" s="2">
        <v>-27059</v>
      </c>
      <c r="Z388" s="2">
        <v>27060</v>
      </c>
      <c r="AA388">
        <v>0</v>
      </c>
    </row>
    <row r="389" spans="1:27" x14ac:dyDescent="0.35">
      <c r="A389">
        <v>2602</v>
      </c>
      <c r="B389">
        <v>0</v>
      </c>
      <c r="C389" s="1">
        <v>32413</v>
      </c>
      <c r="D389">
        <v>1</v>
      </c>
      <c r="E389" t="s">
        <v>20</v>
      </c>
      <c r="F389" t="s">
        <v>106</v>
      </c>
      <c r="G389" s="1">
        <v>32413</v>
      </c>
      <c r="H389" s="2">
        <v>153819.1</v>
      </c>
      <c r="I389" s="2">
        <f t="shared" si="6"/>
        <v>-153818.1</v>
      </c>
      <c r="J389">
        <v>1</v>
      </c>
      <c r="K389" t="s">
        <v>23</v>
      </c>
      <c r="L389">
        <v>30700040</v>
      </c>
      <c r="M389" t="s">
        <v>62</v>
      </c>
      <c r="N389">
        <v>23500</v>
      </c>
      <c r="O389" t="s">
        <v>51</v>
      </c>
      <c r="P389" t="s">
        <v>26</v>
      </c>
      <c r="Q389" t="s">
        <v>26</v>
      </c>
      <c r="R389">
        <v>164500</v>
      </c>
      <c r="S389" t="s">
        <v>63</v>
      </c>
      <c r="T389">
        <v>1</v>
      </c>
      <c r="U389">
        <v>0</v>
      </c>
      <c r="V389">
        <v>0</v>
      </c>
      <c r="W389">
        <v>0</v>
      </c>
      <c r="X389">
        <v>0</v>
      </c>
      <c r="Y389" s="2">
        <v>-27059</v>
      </c>
      <c r="Z389" s="2">
        <v>27060</v>
      </c>
      <c r="AA389">
        <v>0</v>
      </c>
    </row>
    <row r="390" spans="1:27" x14ac:dyDescent="0.35">
      <c r="A390">
        <v>2621</v>
      </c>
      <c r="B390">
        <v>0</v>
      </c>
      <c r="C390" s="1">
        <v>33018</v>
      </c>
      <c r="D390">
        <v>2</v>
      </c>
      <c r="E390" t="s">
        <v>20</v>
      </c>
      <c r="F390" t="s">
        <v>140</v>
      </c>
      <c r="G390" s="1">
        <v>33018</v>
      </c>
      <c r="H390" s="2">
        <v>26221.22</v>
      </c>
      <c r="I390" s="2">
        <f t="shared" si="6"/>
        <v>-26220.22</v>
      </c>
      <c r="J390">
        <v>1</v>
      </c>
      <c r="K390" t="s">
        <v>23</v>
      </c>
      <c r="L390">
        <v>30700040</v>
      </c>
      <c r="M390" t="s">
        <v>62</v>
      </c>
      <c r="N390">
        <v>22200</v>
      </c>
      <c r="O390" t="s">
        <v>34</v>
      </c>
      <c r="P390" t="s">
        <v>26</v>
      </c>
      <c r="Q390" t="s">
        <v>141</v>
      </c>
      <c r="R390">
        <v>164500</v>
      </c>
      <c r="S390" t="s">
        <v>63</v>
      </c>
      <c r="T390">
        <v>1</v>
      </c>
      <c r="U390">
        <v>0</v>
      </c>
      <c r="V390">
        <v>0</v>
      </c>
      <c r="W390">
        <v>0</v>
      </c>
      <c r="X390">
        <v>0</v>
      </c>
      <c r="Y390" s="2">
        <v>-307699</v>
      </c>
      <c r="Z390" s="2">
        <v>307700</v>
      </c>
      <c r="AA390">
        <v>0</v>
      </c>
    </row>
    <row r="391" spans="1:27" x14ac:dyDescent="0.35">
      <c r="A391">
        <v>2622</v>
      </c>
      <c r="B391">
        <v>0</v>
      </c>
      <c r="C391" s="1">
        <v>33018</v>
      </c>
      <c r="D391">
        <v>2</v>
      </c>
      <c r="E391" t="s">
        <v>20</v>
      </c>
      <c r="F391" t="s">
        <v>140</v>
      </c>
      <c r="G391" s="1">
        <v>33018</v>
      </c>
      <c r="H391" s="2">
        <v>26221.22</v>
      </c>
      <c r="I391" s="2">
        <f t="shared" si="6"/>
        <v>-26220.22</v>
      </c>
      <c r="J391">
        <v>1</v>
      </c>
      <c r="K391" t="s">
        <v>23</v>
      </c>
      <c r="L391">
        <v>30700040</v>
      </c>
      <c r="M391" t="s">
        <v>62</v>
      </c>
      <c r="N391">
        <v>22200</v>
      </c>
      <c r="O391" t="s">
        <v>34</v>
      </c>
      <c r="P391" t="s">
        <v>26</v>
      </c>
      <c r="Q391" t="s">
        <v>141</v>
      </c>
      <c r="R391">
        <v>164500</v>
      </c>
      <c r="S391" t="s">
        <v>63</v>
      </c>
      <c r="T391">
        <v>1</v>
      </c>
      <c r="U391">
        <v>0</v>
      </c>
      <c r="V391">
        <v>0</v>
      </c>
      <c r="W391">
        <v>0</v>
      </c>
      <c r="X391">
        <v>0</v>
      </c>
      <c r="Y391" s="2">
        <v>-94814</v>
      </c>
      <c r="Z391" s="2">
        <v>94815</v>
      </c>
      <c r="AA391">
        <v>0</v>
      </c>
    </row>
    <row r="392" spans="1:27" x14ac:dyDescent="0.35">
      <c r="A392">
        <v>2601</v>
      </c>
      <c r="B392">
        <v>0</v>
      </c>
      <c r="C392" s="1">
        <v>33031</v>
      </c>
      <c r="D392">
        <v>1</v>
      </c>
      <c r="E392" t="s">
        <v>20</v>
      </c>
      <c r="F392" t="s">
        <v>142</v>
      </c>
      <c r="G392" s="1">
        <v>33031</v>
      </c>
      <c r="H392" s="2">
        <v>17827.27</v>
      </c>
      <c r="I392" s="2">
        <f t="shared" si="6"/>
        <v>-17826.27</v>
      </c>
      <c r="J392">
        <v>1</v>
      </c>
      <c r="K392" t="s">
        <v>23</v>
      </c>
      <c r="L392">
        <v>30700040</v>
      </c>
      <c r="M392" t="s">
        <v>62</v>
      </c>
      <c r="N392">
        <v>23500</v>
      </c>
      <c r="O392" t="s">
        <v>51</v>
      </c>
      <c r="P392" t="s">
        <v>26</v>
      </c>
      <c r="Q392" t="s">
        <v>26</v>
      </c>
      <c r="R392">
        <v>164500</v>
      </c>
      <c r="S392" t="s">
        <v>63</v>
      </c>
      <c r="T392">
        <v>1</v>
      </c>
      <c r="U392">
        <v>0</v>
      </c>
      <c r="V392">
        <v>0</v>
      </c>
      <c r="W392">
        <v>0</v>
      </c>
      <c r="X392">
        <v>0</v>
      </c>
      <c r="Y392" s="2">
        <v>-7188</v>
      </c>
      <c r="Z392" s="2">
        <v>7189</v>
      </c>
      <c r="AA392">
        <v>0</v>
      </c>
    </row>
    <row r="393" spans="1:27" x14ac:dyDescent="0.35">
      <c r="A393">
        <v>2600</v>
      </c>
      <c r="B393">
        <v>0</v>
      </c>
      <c r="C393" s="1">
        <v>33125</v>
      </c>
      <c r="D393">
        <v>1</v>
      </c>
      <c r="E393" t="s">
        <v>20</v>
      </c>
      <c r="F393" t="s">
        <v>106</v>
      </c>
      <c r="G393" s="1">
        <v>33125</v>
      </c>
      <c r="H393" s="2">
        <v>153819.13</v>
      </c>
      <c r="I393" s="2">
        <f t="shared" si="6"/>
        <v>-153818.13</v>
      </c>
      <c r="J393">
        <v>1</v>
      </c>
      <c r="K393" t="s">
        <v>23</v>
      </c>
      <c r="L393">
        <v>10700040</v>
      </c>
      <c r="M393" t="s">
        <v>65</v>
      </c>
      <c r="N393">
        <v>23500</v>
      </c>
      <c r="O393" t="s">
        <v>51</v>
      </c>
      <c r="P393" t="s">
        <v>26</v>
      </c>
      <c r="Q393" t="s">
        <v>26</v>
      </c>
      <c r="R393">
        <v>164500</v>
      </c>
      <c r="S393" t="s">
        <v>63</v>
      </c>
      <c r="T393">
        <v>1</v>
      </c>
      <c r="U393">
        <v>0</v>
      </c>
      <c r="V393">
        <v>0</v>
      </c>
      <c r="W393">
        <v>0</v>
      </c>
      <c r="X393">
        <v>0</v>
      </c>
      <c r="Y393" s="2">
        <v>-9748</v>
      </c>
      <c r="Z393" s="2">
        <v>9749</v>
      </c>
      <c r="AA393">
        <v>0</v>
      </c>
    </row>
    <row r="394" spans="1:27" x14ac:dyDescent="0.35">
      <c r="A394">
        <v>2619</v>
      </c>
      <c r="B394">
        <v>0</v>
      </c>
      <c r="C394" s="1">
        <v>33407</v>
      </c>
      <c r="D394">
        <v>4</v>
      </c>
      <c r="E394" t="s">
        <v>20</v>
      </c>
      <c r="F394" t="s">
        <v>161</v>
      </c>
      <c r="G394" s="1">
        <v>33407</v>
      </c>
      <c r="H394" s="2">
        <v>18860.96</v>
      </c>
      <c r="I394" s="2">
        <f t="shared" si="6"/>
        <v>-18859.96</v>
      </c>
      <c r="J394">
        <v>1</v>
      </c>
      <c r="K394" t="s">
        <v>23</v>
      </c>
      <c r="L394">
        <v>30700040</v>
      </c>
      <c r="M394" t="s">
        <v>62</v>
      </c>
      <c r="N394">
        <v>22200</v>
      </c>
      <c r="O394" t="s">
        <v>34</v>
      </c>
      <c r="P394" t="s">
        <v>26</v>
      </c>
      <c r="Q394" t="s">
        <v>141</v>
      </c>
      <c r="R394">
        <v>164500</v>
      </c>
      <c r="S394" t="s">
        <v>63</v>
      </c>
      <c r="T394">
        <v>1</v>
      </c>
      <c r="U394">
        <v>0</v>
      </c>
      <c r="V394">
        <v>0</v>
      </c>
      <c r="W394">
        <v>0</v>
      </c>
      <c r="X394">
        <v>0</v>
      </c>
      <c r="Y394" s="2">
        <v>-7911.5</v>
      </c>
      <c r="Z394" s="2">
        <v>7912.5</v>
      </c>
      <c r="AA394">
        <v>0</v>
      </c>
    </row>
    <row r="395" spans="1:27" x14ac:dyDescent="0.35">
      <c r="A395">
        <v>2620</v>
      </c>
      <c r="B395">
        <v>0</v>
      </c>
      <c r="C395" s="1">
        <v>33407</v>
      </c>
      <c r="D395">
        <v>4</v>
      </c>
      <c r="E395" t="s">
        <v>20</v>
      </c>
      <c r="F395" t="s">
        <v>161</v>
      </c>
      <c r="G395" s="1">
        <v>33407</v>
      </c>
      <c r="H395" s="2">
        <v>18860.97</v>
      </c>
      <c r="I395" s="2">
        <f t="shared" si="6"/>
        <v>-18859.97</v>
      </c>
      <c r="J395">
        <v>1</v>
      </c>
      <c r="K395" t="s">
        <v>23</v>
      </c>
      <c r="L395">
        <v>30700040</v>
      </c>
      <c r="M395" t="s">
        <v>62</v>
      </c>
      <c r="N395">
        <v>22200</v>
      </c>
      <c r="O395" t="s">
        <v>34</v>
      </c>
      <c r="P395" t="s">
        <v>26</v>
      </c>
      <c r="Q395" t="s">
        <v>141</v>
      </c>
      <c r="R395">
        <v>164500</v>
      </c>
      <c r="S395" t="s">
        <v>63</v>
      </c>
      <c r="T395">
        <v>1</v>
      </c>
      <c r="U395">
        <v>0</v>
      </c>
      <c r="V395">
        <v>0</v>
      </c>
      <c r="W395">
        <v>0</v>
      </c>
      <c r="X395">
        <v>0</v>
      </c>
      <c r="Y395" s="2">
        <v>-78570</v>
      </c>
      <c r="Z395" s="2">
        <v>78571</v>
      </c>
      <c r="AA395">
        <v>0</v>
      </c>
    </row>
    <row r="396" spans="1:27" x14ac:dyDescent="0.35">
      <c r="A396">
        <v>2617</v>
      </c>
      <c r="B396">
        <v>0</v>
      </c>
      <c r="C396" s="1">
        <v>33572</v>
      </c>
      <c r="D396">
        <v>2</v>
      </c>
      <c r="E396" t="s">
        <v>20</v>
      </c>
      <c r="F396" t="s">
        <v>166</v>
      </c>
      <c r="G396" s="1">
        <v>33572</v>
      </c>
      <c r="H396" s="2">
        <v>36522.6</v>
      </c>
      <c r="I396" s="2">
        <f t="shared" si="6"/>
        <v>-36521.599999999999</v>
      </c>
      <c r="J396">
        <v>1</v>
      </c>
      <c r="K396" t="s">
        <v>23</v>
      </c>
      <c r="L396">
        <v>30700040</v>
      </c>
      <c r="M396" t="s">
        <v>62</v>
      </c>
      <c r="N396">
        <v>22200</v>
      </c>
      <c r="O396" t="s">
        <v>34</v>
      </c>
      <c r="P396" t="s">
        <v>26</v>
      </c>
      <c r="Q396" t="s">
        <v>141</v>
      </c>
      <c r="R396">
        <v>164500</v>
      </c>
      <c r="S396" t="s">
        <v>63</v>
      </c>
      <c r="T396">
        <v>1</v>
      </c>
      <c r="U396">
        <v>0</v>
      </c>
      <c r="V396">
        <v>0</v>
      </c>
      <c r="W396">
        <v>0</v>
      </c>
      <c r="X396">
        <v>0</v>
      </c>
      <c r="Y396" s="2">
        <v>-29249</v>
      </c>
      <c r="Z396" s="2">
        <v>29250</v>
      </c>
      <c r="AA396">
        <v>0</v>
      </c>
    </row>
    <row r="397" spans="1:27" x14ac:dyDescent="0.35">
      <c r="A397">
        <v>2618</v>
      </c>
      <c r="B397">
        <v>0</v>
      </c>
      <c r="C397" s="1">
        <v>33572</v>
      </c>
      <c r="D397">
        <v>2</v>
      </c>
      <c r="E397" t="s">
        <v>20</v>
      </c>
      <c r="F397" t="s">
        <v>166</v>
      </c>
      <c r="G397" s="1">
        <v>33572</v>
      </c>
      <c r="H397" s="2">
        <v>36522.6</v>
      </c>
      <c r="I397" s="2">
        <f t="shared" si="6"/>
        <v>-36521.599999999999</v>
      </c>
      <c r="J397">
        <v>1</v>
      </c>
      <c r="K397" t="s">
        <v>23</v>
      </c>
      <c r="L397">
        <v>30700040</v>
      </c>
      <c r="M397" t="s">
        <v>62</v>
      </c>
      <c r="N397">
        <v>22200</v>
      </c>
      <c r="O397" t="s">
        <v>34</v>
      </c>
      <c r="P397" t="s">
        <v>26</v>
      </c>
      <c r="Q397" t="s">
        <v>141</v>
      </c>
      <c r="R397">
        <v>164500</v>
      </c>
      <c r="S397" t="s">
        <v>63</v>
      </c>
      <c r="T397" s="2">
        <v>9695</v>
      </c>
      <c r="U397" s="2">
        <v>-35259.58</v>
      </c>
      <c r="V397" s="2">
        <v>-9400.67</v>
      </c>
      <c r="W397">
        <v>0</v>
      </c>
      <c r="X397" s="2">
        <v>-9400.67</v>
      </c>
      <c r="Y397" s="2">
        <v>-96083.75</v>
      </c>
      <c r="Z397" s="2">
        <v>105778.75</v>
      </c>
      <c r="AA397" s="2">
        <v>34966.25</v>
      </c>
    </row>
    <row r="398" spans="1:27" x14ac:dyDescent="0.35">
      <c r="A398">
        <v>2599</v>
      </c>
      <c r="B398">
        <v>0</v>
      </c>
      <c r="C398" s="1">
        <v>33876</v>
      </c>
      <c r="D398">
        <v>1</v>
      </c>
      <c r="E398" t="s">
        <v>20</v>
      </c>
      <c r="F398" t="s">
        <v>177</v>
      </c>
      <c r="G398" s="1">
        <v>33876</v>
      </c>
      <c r="H398" s="2">
        <v>75613.34</v>
      </c>
      <c r="I398" s="2">
        <f t="shared" si="6"/>
        <v>-75612.34</v>
      </c>
      <c r="J398">
        <v>1</v>
      </c>
      <c r="K398" t="s">
        <v>23</v>
      </c>
      <c r="L398">
        <v>10700040</v>
      </c>
      <c r="M398" t="s">
        <v>65</v>
      </c>
      <c r="N398">
        <v>23500</v>
      </c>
      <c r="O398" t="s">
        <v>51</v>
      </c>
      <c r="P398" t="s">
        <v>26</v>
      </c>
      <c r="Q398" t="s">
        <v>26</v>
      </c>
      <c r="R398">
        <v>164500</v>
      </c>
      <c r="S398" t="s">
        <v>63</v>
      </c>
      <c r="T398">
        <v>1</v>
      </c>
      <c r="U398">
        <v>0</v>
      </c>
      <c r="V398">
        <v>0</v>
      </c>
      <c r="W398">
        <v>0</v>
      </c>
      <c r="X398">
        <v>0</v>
      </c>
      <c r="Y398" s="2">
        <v>-9990.07</v>
      </c>
      <c r="Z398" s="2">
        <v>9991.07</v>
      </c>
      <c r="AA398">
        <v>0</v>
      </c>
    </row>
    <row r="399" spans="1:27" x14ac:dyDescent="0.35">
      <c r="A399">
        <v>2598</v>
      </c>
      <c r="B399">
        <v>0</v>
      </c>
      <c r="C399" s="1">
        <v>33920</v>
      </c>
      <c r="D399">
        <v>1</v>
      </c>
      <c r="E399" t="s">
        <v>20</v>
      </c>
      <c r="F399" t="s">
        <v>178</v>
      </c>
      <c r="G399" s="1">
        <v>33920</v>
      </c>
      <c r="H399" s="2">
        <v>9272.73</v>
      </c>
      <c r="I399" s="2">
        <f t="shared" si="6"/>
        <v>-9271.73</v>
      </c>
      <c r="J399">
        <v>1</v>
      </c>
      <c r="K399" t="s">
        <v>23</v>
      </c>
      <c r="L399">
        <v>10700040</v>
      </c>
      <c r="M399" t="s">
        <v>65</v>
      </c>
      <c r="N399">
        <v>23500</v>
      </c>
      <c r="O399" t="s">
        <v>51</v>
      </c>
      <c r="P399" t="s">
        <v>26</v>
      </c>
      <c r="Q399" t="s">
        <v>26</v>
      </c>
      <c r="R399">
        <v>164500</v>
      </c>
      <c r="S399" t="s">
        <v>63</v>
      </c>
      <c r="T399">
        <v>1</v>
      </c>
      <c r="U399">
        <v>0</v>
      </c>
      <c r="V399">
        <v>0</v>
      </c>
      <c r="W399">
        <v>0</v>
      </c>
      <c r="X399">
        <v>0</v>
      </c>
      <c r="Y399" s="2">
        <v>-523769</v>
      </c>
      <c r="Z399" s="2">
        <v>523770</v>
      </c>
      <c r="AA399">
        <v>0</v>
      </c>
    </row>
    <row r="400" spans="1:27" x14ac:dyDescent="0.35">
      <c r="A400">
        <v>2616</v>
      </c>
      <c r="B400">
        <v>0</v>
      </c>
      <c r="C400" s="1">
        <v>34337</v>
      </c>
      <c r="D400">
        <v>1</v>
      </c>
      <c r="E400" t="s">
        <v>20</v>
      </c>
      <c r="F400" t="s">
        <v>188</v>
      </c>
      <c r="G400" s="1">
        <v>34337</v>
      </c>
      <c r="H400" s="2">
        <v>60338.7</v>
      </c>
      <c r="I400" s="2">
        <f t="shared" si="6"/>
        <v>-60337.7</v>
      </c>
      <c r="J400">
        <v>1</v>
      </c>
      <c r="K400" t="s">
        <v>23</v>
      </c>
      <c r="L400">
        <v>10700040</v>
      </c>
      <c r="M400" t="s">
        <v>65</v>
      </c>
      <c r="N400">
        <v>22200</v>
      </c>
      <c r="O400" t="s">
        <v>34</v>
      </c>
      <c r="P400" t="s">
        <v>26</v>
      </c>
      <c r="Q400" t="s">
        <v>141</v>
      </c>
      <c r="R400">
        <v>164500</v>
      </c>
      <c r="S400" t="s">
        <v>63</v>
      </c>
      <c r="T400">
        <v>1</v>
      </c>
      <c r="U400">
        <v>0</v>
      </c>
      <c r="V400">
        <v>0</v>
      </c>
      <c r="W400">
        <v>0</v>
      </c>
      <c r="X400">
        <v>0</v>
      </c>
      <c r="Y400" s="2">
        <v>-42849</v>
      </c>
      <c r="Z400" s="2">
        <v>42850</v>
      </c>
      <c r="AA400">
        <v>0</v>
      </c>
    </row>
    <row r="401" spans="1:27" x14ac:dyDescent="0.35">
      <c r="A401">
        <v>2595</v>
      </c>
      <c r="B401">
        <v>0</v>
      </c>
      <c r="C401" s="1">
        <v>34474</v>
      </c>
      <c r="D401">
        <v>1</v>
      </c>
      <c r="E401" t="s">
        <v>20</v>
      </c>
      <c r="F401" t="s">
        <v>195</v>
      </c>
      <c r="G401" s="1">
        <v>34474</v>
      </c>
      <c r="H401" s="2">
        <v>1350418.93</v>
      </c>
      <c r="I401" s="2">
        <f t="shared" si="6"/>
        <v>-1350417.93</v>
      </c>
      <c r="J401">
        <v>1</v>
      </c>
      <c r="K401" t="s">
        <v>23</v>
      </c>
      <c r="L401">
        <v>10700040</v>
      </c>
      <c r="M401" t="s">
        <v>65</v>
      </c>
      <c r="N401">
        <v>22100</v>
      </c>
      <c r="O401" t="s">
        <v>44</v>
      </c>
      <c r="P401" t="s">
        <v>26</v>
      </c>
      <c r="Q401" t="s">
        <v>38</v>
      </c>
      <c r="R401">
        <v>164500</v>
      </c>
      <c r="S401" t="s">
        <v>63</v>
      </c>
      <c r="T401">
        <v>1</v>
      </c>
      <c r="U401">
        <v>0</v>
      </c>
      <c r="V401">
        <v>0</v>
      </c>
      <c r="W401">
        <v>0</v>
      </c>
      <c r="X401">
        <v>0</v>
      </c>
      <c r="Y401" s="2">
        <v>-42849</v>
      </c>
      <c r="Z401" s="2">
        <v>42850</v>
      </c>
      <c r="AA401">
        <v>0</v>
      </c>
    </row>
    <row r="402" spans="1:27" x14ac:dyDescent="0.35">
      <c r="A402">
        <v>2596</v>
      </c>
      <c r="B402">
        <v>0</v>
      </c>
      <c r="C402" s="1">
        <v>34474</v>
      </c>
      <c r="F402" t="s">
        <v>196</v>
      </c>
      <c r="G402" s="1">
        <v>34474</v>
      </c>
      <c r="H402" s="2">
        <v>161575.89000000001</v>
      </c>
      <c r="I402" s="2">
        <f t="shared" si="6"/>
        <v>-161575.89000000001</v>
      </c>
      <c r="J402">
        <v>0</v>
      </c>
      <c r="K402" t="s">
        <v>23</v>
      </c>
      <c r="L402">
        <v>10700040</v>
      </c>
      <c r="M402" t="s">
        <v>65</v>
      </c>
      <c r="N402">
        <v>22100</v>
      </c>
      <c r="O402" t="s">
        <v>44</v>
      </c>
      <c r="P402" t="s">
        <v>26</v>
      </c>
      <c r="Q402" t="s">
        <v>38</v>
      </c>
      <c r="R402">
        <v>164500</v>
      </c>
      <c r="S402" t="s">
        <v>63</v>
      </c>
      <c r="T402">
        <v>1</v>
      </c>
      <c r="U402">
        <v>0</v>
      </c>
      <c r="V402">
        <v>0</v>
      </c>
      <c r="W402">
        <v>0</v>
      </c>
      <c r="X402">
        <v>0</v>
      </c>
      <c r="Y402" s="2">
        <v>-42849</v>
      </c>
      <c r="Z402" s="2">
        <v>42850</v>
      </c>
      <c r="AA402">
        <v>0</v>
      </c>
    </row>
    <row r="403" spans="1:27" x14ac:dyDescent="0.35">
      <c r="A403">
        <v>2645</v>
      </c>
      <c r="B403">
        <v>0</v>
      </c>
      <c r="C403" s="1">
        <v>34556</v>
      </c>
      <c r="D403">
        <v>1</v>
      </c>
      <c r="E403" t="s">
        <v>20</v>
      </c>
      <c r="F403" t="s">
        <v>199</v>
      </c>
      <c r="G403" s="1">
        <v>34556</v>
      </c>
      <c r="H403" s="2">
        <v>8363.64</v>
      </c>
      <c r="I403" s="2">
        <f t="shared" si="6"/>
        <v>-8362.64</v>
      </c>
      <c r="J403">
        <v>1</v>
      </c>
      <c r="K403" t="s">
        <v>23</v>
      </c>
      <c r="L403">
        <v>10700040</v>
      </c>
      <c r="M403" t="s">
        <v>65</v>
      </c>
      <c r="N403">
        <v>23500</v>
      </c>
      <c r="O403" t="s">
        <v>51</v>
      </c>
      <c r="P403" t="s">
        <v>26</v>
      </c>
      <c r="Q403" t="s">
        <v>88</v>
      </c>
      <c r="R403">
        <v>164500</v>
      </c>
      <c r="S403" t="s">
        <v>63</v>
      </c>
      <c r="T403">
        <v>1</v>
      </c>
      <c r="U403">
        <v>0</v>
      </c>
      <c r="V403">
        <v>0</v>
      </c>
      <c r="W403">
        <v>0</v>
      </c>
      <c r="X403">
        <v>0</v>
      </c>
      <c r="Y403" s="2">
        <v>-12799</v>
      </c>
      <c r="Z403" s="2">
        <v>12800</v>
      </c>
      <c r="AA403">
        <v>0</v>
      </c>
    </row>
    <row r="404" spans="1:27" x14ac:dyDescent="0.35">
      <c r="A404">
        <v>2615</v>
      </c>
      <c r="B404">
        <v>0</v>
      </c>
      <c r="C404" s="1">
        <v>34570</v>
      </c>
      <c r="D404">
        <v>2</v>
      </c>
      <c r="E404" t="s">
        <v>20</v>
      </c>
      <c r="F404" t="s">
        <v>200</v>
      </c>
      <c r="G404" s="1">
        <v>34570</v>
      </c>
      <c r="H404" s="2">
        <v>10340</v>
      </c>
      <c r="I404" s="2">
        <f t="shared" si="6"/>
        <v>-10339</v>
      </c>
      <c r="J404">
        <v>1</v>
      </c>
      <c r="K404" t="s">
        <v>23</v>
      </c>
      <c r="L404">
        <v>10700040</v>
      </c>
      <c r="M404" t="s">
        <v>65</v>
      </c>
      <c r="N404">
        <v>22200</v>
      </c>
      <c r="O404" t="s">
        <v>34</v>
      </c>
      <c r="P404" t="s">
        <v>26</v>
      </c>
      <c r="Q404" t="s">
        <v>141</v>
      </c>
      <c r="R404">
        <v>164500</v>
      </c>
      <c r="S404" t="s">
        <v>63</v>
      </c>
      <c r="T404">
        <v>1</v>
      </c>
      <c r="U404">
        <v>0</v>
      </c>
      <c r="V404">
        <v>0</v>
      </c>
      <c r="W404">
        <v>0</v>
      </c>
      <c r="X404">
        <v>0</v>
      </c>
      <c r="Y404" s="2">
        <v>-12799</v>
      </c>
      <c r="Z404" s="2">
        <v>12800</v>
      </c>
      <c r="AA404">
        <v>0</v>
      </c>
    </row>
    <row r="405" spans="1:27" x14ac:dyDescent="0.35">
      <c r="A405">
        <v>2644</v>
      </c>
      <c r="B405">
        <v>0</v>
      </c>
      <c r="C405" s="1">
        <v>34586</v>
      </c>
      <c r="D405">
        <v>1</v>
      </c>
      <c r="E405" t="s">
        <v>20</v>
      </c>
      <c r="F405" t="s">
        <v>201</v>
      </c>
      <c r="G405" s="1">
        <v>34586</v>
      </c>
      <c r="H405" s="2">
        <v>18505.45</v>
      </c>
      <c r="I405" s="2">
        <f t="shared" si="6"/>
        <v>-18504.45</v>
      </c>
      <c r="J405">
        <v>1</v>
      </c>
      <c r="K405" t="s">
        <v>23</v>
      </c>
      <c r="L405">
        <v>10700040</v>
      </c>
      <c r="M405" t="s">
        <v>65</v>
      </c>
      <c r="N405">
        <v>23500</v>
      </c>
      <c r="O405" t="s">
        <v>51</v>
      </c>
      <c r="P405" t="s">
        <v>26</v>
      </c>
      <c r="Q405" t="s">
        <v>88</v>
      </c>
      <c r="R405">
        <v>164500</v>
      </c>
      <c r="S405" t="s">
        <v>63</v>
      </c>
      <c r="T405">
        <v>1</v>
      </c>
      <c r="U405">
        <v>0</v>
      </c>
      <c r="V405">
        <v>0</v>
      </c>
      <c r="W405">
        <v>0</v>
      </c>
      <c r="X405">
        <v>0</v>
      </c>
      <c r="Y405" s="2">
        <v>-12799</v>
      </c>
      <c r="Z405" s="2">
        <v>12800</v>
      </c>
      <c r="AA405">
        <v>0</v>
      </c>
    </row>
    <row r="406" spans="1:27" x14ac:dyDescent="0.35">
      <c r="A406">
        <v>2643</v>
      </c>
      <c r="B406">
        <v>0</v>
      </c>
      <c r="C406" s="1">
        <v>34995</v>
      </c>
      <c r="D406">
        <v>2</v>
      </c>
      <c r="E406" t="s">
        <v>20</v>
      </c>
      <c r="F406" t="s">
        <v>224</v>
      </c>
      <c r="G406" s="1">
        <v>34995</v>
      </c>
      <c r="H406" s="2">
        <v>10823.64</v>
      </c>
      <c r="I406" s="2">
        <f t="shared" si="6"/>
        <v>-10822.64</v>
      </c>
      <c r="J406">
        <v>1</v>
      </c>
      <c r="K406" t="s">
        <v>23</v>
      </c>
      <c r="L406">
        <v>10700040</v>
      </c>
      <c r="M406" t="s">
        <v>65</v>
      </c>
      <c r="N406">
        <v>23500</v>
      </c>
      <c r="O406" t="s">
        <v>51</v>
      </c>
      <c r="P406" t="s">
        <v>26</v>
      </c>
      <c r="Q406" t="s">
        <v>88</v>
      </c>
      <c r="R406">
        <v>164500</v>
      </c>
      <c r="S406" t="s">
        <v>63</v>
      </c>
      <c r="T406">
        <v>1</v>
      </c>
      <c r="U406">
        <v>0</v>
      </c>
      <c r="V406">
        <v>0</v>
      </c>
      <c r="W406">
        <v>0</v>
      </c>
      <c r="X406">
        <v>0</v>
      </c>
      <c r="Y406" s="2">
        <v>-12799</v>
      </c>
      <c r="Z406" s="2">
        <v>12800</v>
      </c>
      <c r="AA406">
        <v>0</v>
      </c>
    </row>
    <row r="407" spans="1:27" x14ac:dyDescent="0.35">
      <c r="A407">
        <v>2614</v>
      </c>
      <c r="B407">
        <v>0</v>
      </c>
      <c r="C407" s="1">
        <v>35046</v>
      </c>
      <c r="D407">
        <v>1</v>
      </c>
      <c r="E407" t="s">
        <v>20</v>
      </c>
      <c r="F407" t="s">
        <v>227</v>
      </c>
      <c r="G407" s="1">
        <v>35046</v>
      </c>
      <c r="H407" s="2">
        <v>5545.45</v>
      </c>
      <c r="I407" s="2">
        <f t="shared" si="6"/>
        <v>-5544.45</v>
      </c>
      <c r="J407">
        <v>1</v>
      </c>
      <c r="K407" t="s">
        <v>23</v>
      </c>
      <c r="L407">
        <v>10700040</v>
      </c>
      <c r="M407" t="s">
        <v>65</v>
      </c>
      <c r="N407">
        <v>22200</v>
      </c>
      <c r="O407" t="s">
        <v>34</v>
      </c>
      <c r="P407" t="s">
        <v>26</v>
      </c>
      <c r="Q407" t="s">
        <v>141</v>
      </c>
      <c r="R407">
        <v>164500</v>
      </c>
      <c r="S407" t="s">
        <v>63</v>
      </c>
      <c r="T407">
        <v>1</v>
      </c>
      <c r="U407">
        <v>0</v>
      </c>
      <c r="V407">
        <v>0</v>
      </c>
      <c r="W407">
        <v>0</v>
      </c>
      <c r="X407">
        <v>0</v>
      </c>
      <c r="Y407" s="2">
        <v>-12799</v>
      </c>
      <c r="Z407" s="2">
        <v>12800</v>
      </c>
      <c r="AA407">
        <v>0</v>
      </c>
    </row>
    <row r="408" spans="1:27" x14ac:dyDescent="0.35">
      <c r="A408">
        <v>2642</v>
      </c>
      <c r="B408">
        <v>0</v>
      </c>
      <c r="C408" s="1">
        <v>35230</v>
      </c>
      <c r="D408">
        <v>2</v>
      </c>
      <c r="E408" t="s">
        <v>20</v>
      </c>
      <c r="F408" t="s">
        <v>232</v>
      </c>
      <c r="G408" s="1">
        <v>35230</v>
      </c>
      <c r="H408" s="2">
        <v>15781.82</v>
      </c>
      <c r="I408" s="2">
        <f t="shared" si="6"/>
        <v>-15780.82</v>
      </c>
      <c r="J408">
        <v>1</v>
      </c>
      <c r="K408" t="s">
        <v>23</v>
      </c>
      <c r="L408">
        <v>10700040</v>
      </c>
      <c r="M408" t="s">
        <v>65</v>
      </c>
      <c r="N408">
        <v>23500</v>
      </c>
      <c r="O408" t="s">
        <v>51</v>
      </c>
      <c r="P408" t="s">
        <v>26</v>
      </c>
      <c r="Q408" t="s">
        <v>88</v>
      </c>
      <c r="R408">
        <v>164500</v>
      </c>
      <c r="S408" t="s">
        <v>63</v>
      </c>
      <c r="T408">
        <v>1</v>
      </c>
      <c r="U408">
        <v>0</v>
      </c>
      <c r="V408">
        <v>0</v>
      </c>
      <c r="W408">
        <v>0</v>
      </c>
      <c r="X408">
        <v>0</v>
      </c>
      <c r="Y408" s="2">
        <v>-12799</v>
      </c>
      <c r="Z408" s="2">
        <v>12800</v>
      </c>
      <c r="AA408">
        <v>0</v>
      </c>
    </row>
    <row r="409" spans="1:27" x14ac:dyDescent="0.35">
      <c r="A409">
        <v>2641</v>
      </c>
      <c r="B409">
        <v>0</v>
      </c>
      <c r="C409" s="1">
        <v>35287</v>
      </c>
      <c r="D409">
        <v>1</v>
      </c>
      <c r="E409" t="s">
        <v>20</v>
      </c>
      <c r="F409" t="s">
        <v>220</v>
      </c>
      <c r="G409" s="1">
        <v>35287</v>
      </c>
      <c r="H409" s="2">
        <v>23181.82</v>
      </c>
      <c r="I409" s="2">
        <f t="shared" si="6"/>
        <v>-23180.82</v>
      </c>
      <c r="J409">
        <v>1</v>
      </c>
      <c r="K409" t="s">
        <v>23</v>
      </c>
      <c r="L409">
        <v>10700040</v>
      </c>
      <c r="M409" t="s">
        <v>65</v>
      </c>
      <c r="N409">
        <v>23500</v>
      </c>
      <c r="O409" t="s">
        <v>51</v>
      </c>
      <c r="P409" t="s">
        <v>26</v>
      </c>
      <c r="Q409" t="s">
        <v>88</v>
      </c>
      <c r="R409">
        <v>164500</v>
      </c>
      <c r="S409" t="s">
        <v>63</v>
      </c>
      <c r="T409">
        <v>1</v>
      </c>
      <c r="U409">
        <v>0</v>
      </c>
      <c r="V409">
        <v>0</v>
      </c>
      <c r="W409">
        <v>0</v>
      </c>
      <c r="X409">
        <v>0</v>
      </c>
      <c r="Y409" s="2">
        <v>-12799</v>
      </c>
      <c r="Z409" s="2">
        <v>12800</v>
      </c>
      <c r="AA409">
        <v>0</v>
      </c>
    </row>
    <row r="410" spans="1:27" x14ac:dyDescent="0.35">
      <c r="A410">
        <v>2594</v>
      </c>
      <c r="B410">
        <v>0</v>
      </c>
      <c r="C410" s="1">
        <v>35304</v>
      </c>
      <c r="D410">
        <v>1</v>
      </c>
      <c r="E410" t="s">
        <v>20</v>
      </c>
      <c r="F410" t="s">
        <v>239</v>
      </c>
      <c r="G410" s="1">
        <v>35304</v>
      </c>
      <c r="H410" s="2">
        <v>43818.18</v>
      </c>
      <c r="I410" s="2">
        <f t="shared" si="6"/>
        <v>-43817.18</v>
      </c>
      <c r="J410">
        <v>1</v>
      </c>
      <c r="K410" t="s">
        <v>23</v>
      </c>
      <c r="L410">
        <v>10700040</v>
      </c>
      <c r="M410" t="s">
        <v>65</v>
      </c>
      <c r="N410">
        <v>22100</v>
      </c>
      <c r="O410" t="s">
        <v>44</v>
      </c>
      <c r="P410" t="s">
        <v>26</v>
      </c>
      <c r="Q410" t="s">
        <v>38</v>
      </c>
      <c r="R410">
        <v>164500</v>
      </c>
      <c r="S410" t="s">
        <v>63</v>
      </c>
      <c r="T410">
        <v>1</v>
      </c>
      <c r="U410">
        <v>0</v>
      </c>
      <c r="V410">
        <v>0</v>
      </c>
      <c r="W410">
        <v>0</v>
      </c>
      <c r="X410">
        <v>0</v>
      </c>
      <c r="Y410" s="2">
        <v>-12799</v>
      </c>
      <c r="Z410" s="2">
        <v>12800</v>
      </c>
      <c r="AA410">
        <v>0</v>
      </c>
    </row>
    <row r="411" spans="1:27" x14ac:dyDescent="0.35">
      <c r="A411">
        <v>2613</v>
      </c>
      <c r="B411">
        <v>0</v>
      </c>
      <c r="C411" s="1">
        <v>35321</v>
      </c>
      <c r="D411">
        <v>1</v>
      </c>
      <c r="E411" t="s">
        <v>20</v>
      </c>
      <c r="F411" t="s">
        <v>241</v>
      </c>
      <c r="G411" s="1">
        <v>35321</v>
      </c>
      <c r="H411" s="2">
        <v>5045.45</v>
      </c>
      <c r="I411" s="2">
        <f t="shared" si="6"/>
        <v>-5044.45</v>
      </c>
      <c r="J411">
        <v>1</v>
      </c>
      <c r="K411" t="s">
        <v>23</v>
      </c>
      <c r="L411">
        <v>10700040</v>
      </c>
      <c r="M411" t="s">
        <v>65</v>
      </c>
      <c r="N411">
        <v>22200</v>
      </c>
      <c r="O411" t="s">
        <v>34</v>
      </c>
      <c r="P411" t="s">
        <v>26</v>
      </c>
      <c r="Q411" t="s">
        <v>141</v>
      </c>
      <c r="R411">
        <v>164500</v>
      </c>
      <c r="S411" t="s">
        <v>63</v>
      </c>
      <c r="T411">
        <v>1</v>
      </c>
      <c r="U411">
        <v>0</v>
      </c>
      <c r="V411">
        <v>0</v>
      </c>
      <c r="W411">
        <v>0</v>
      </c>
      <c r="X411">
        <v>0</v>
      </c>
      <c r="Y411" s="2">
        <v>-42849</v>
      </c>
      <c r="Z411" s="2">
        <v>42850</v>
      </c>
      <c r="AA411">
        <v>0</v>
      </c>
    </row>
    <row r="412" spans="1:27" x14ac:dyDescent="0.35">
      <c r="A412">
        <v>2640</v>
      </c>
      <c r="B412">
        <v>0</v>
      </c>
      <c r="C412" s="1">
        <v>35355</v>
      </c>
      <c r="D412">
        <v>1</v>
      </c>
      <c r="E412" t="s">
        <v>20</v>
      </c>
      <c r="F412" t="s">
        <v>245</v>
      </c>
      <c r="G412" s="1">
        <v>35355</v>
      </c>
      <c r="H412" s="2">
        <v>82563.64</v>
      </c>
      <c r="I412" s="2">
        <f t="shared" si="6"/>
        <v>-82562.64</v>
      </c>
      <c r="J412">
        <v>1</v>
      </c>
      <c r="K412" t="s">
        <v>23</v>
      </c>
      <c r="L412">
        <v>10700040</v>
      </c>
      <c r="M412" t="s">
        <v>65</v>
      </c>
      <c r="N412">
        <v>23500</v>
      </c>
      <c r="O412" t="s">
        <v>51</v>
      </c>
      <c r="P412" t="s">
        <v>26</v>
      </c>
      <c r="Q412" t="s">
        <v>88</v>
      </c>
      <c r="R412">
        <v>164500</v>
      </c>
      <c r="S412" t="s">
        <v>63</v>
      </c>
      <c r="T412">
        <v>1</v>
      </c>
      <c r="U412">
        <v>0</v>
      </c>
      <c r="V412">
        <v>0</v>
      </c>
      <c r="W412">
        <v>0</v>
      </c>
      <c r="X412">
        <v>0</v>
      </c>
      <c r="Y412" s="2">
        <v>-42849</v>
      </c>
      <c r="Z412" s="2">
        <v>42850</v>
      </c>
      <c r="AA412">
        <v>0</v>
      </c>
    </row>
    <row r="413" spans="1:27" x14ac:dyDescent="0.35">
      <c r="A413">
        <v>2639</v>
      </c>
      <c r="B413">
        <v>0</v>
      </c>
      <c r="C413" s="1">
        <v>35356</v>
      </c>
      <c r="D413">
        <v>1</v>
      </c>
      <c r="E413" t="s">
        <v>20</v>
      </c>
      <c r="F413" t="s">
        <v>246</v>
      </c>
      <c r="G413" s="1">
        <v>35356</v>
      </c>
      <c r="H413" s="2">
        <v>10356.36</v>
      </c>
      <c r="I413" s="2">
        <f t="shared" si="6"/>
        <v>-10355.36</v>
      </c>
      <c r="J413">
        <v>1</v>
      </c>
      <c r="K413" t="s">
        <v>23</v>
      </c>
      <c r="L413">
        <v>10700040</v>
      </c>
      <c r="M413" t="s">
        <v>65</v>
      </c>
      <c r="N413">
        <v>23500</v>
      </c>
      <c r="O413" t="s">
        <v>51</v>
      </c>
      <c r="P413" t="s">
        <v>26</v>
      </c>
      <c r="Q413" t="s">
        <v>88</v>
      </c>
      <c r="R413">
        <v>164500</v>
      </c>
      <c r="S413" t="s">
        <v>63</v>
      </c>
      <c r="T413">
        <v>1</v>
      </c>
      <c r="U413">
        <v>0</v>
      </c>
      <c r="V413">
        <v>0</v>
      </c>
      <c r="W413">
        <v>0</v>
      </c>
      <c r="X413">
        <v>0</v>
      </c>
      <c r="Y413" s="2">
        <v>-61328</v>
      </c>
      <c r="Z413" s="2">
        <v>61329</v>
      </c>
      <c r="AA413">
        <v>0</v>
      </c>
    </row>
    <row r="414" spans="1:27" x14ac:dyDescent="0.35">
      <c r="A414">
        <v>2610</v>
      </c>
      <c r="B414">
        <v>0</v>
      </c>
      <c r="C414" s="1">
        <v>35515</v>
      </c>
      <c r="D414">
        <v>4</v>
      </c>
      <c r="E414" t="s">
        <v>20</v>
      </c>
      <c r="F414" t="s">
        <v>260</v>
      </c>
      <c r="G414" s="1">
        <v>35515</v>
      </c>
      <c r="H414" s="2">
        <v>28865.439999999999</v>
      </c>
      <c r="I414" s="2">
        <f t="shared" si="6"/>
        <v>-28864.44</v>
      </c>
      <c r="J414">
        <v>1</v>
      </c>
      <c r="K414" t="s">
        <v>23</v>
      </c>
      <c r="L414">
        <v>10700040</v>
      </c>
      <c r="M414" t="s">
        <v>65</v>
      </c>
      <c r="N414">
        <v>22200</v>
      </c>
      <c r="O414" t="s">
        <v>34</v>
      </c>
      <c r="P414" t="s">
        <v>26</v>
      </c>
      <c r="Q414" t="s">
        <v>141</v>
      </c>
      <c r="R414">
        <v>164500</v>
      </c>
      <c r="S414" t="s">
        <v>63</v>
      </c>
      <c r="T414" s="2">
        <v>3008974</v>
      </c>
      <c r="U414">
        <v>0</v>
      </c>
      <c r="V414" s="2">
        <v>-267465</v>
      </c>
      <c r="W414">
        <v>0</v>
      </c>
      <c r="X414" s="2">
        <v>-267465</v>
      </c>
      <c r="Y414" s="2">
        <v>-2340318.41</v>
      </c>
      <c r="Z414" s="2">
        <v>5349292.41</v>
      </c>
      <c r="AA414">
        <v>0</v>
      </c>
    </row>
    <row r="415" spans="1:27" x14ac:dyDescent="0.35">
      <c r="A415">
        <v>2611</v>
      </c>
      <c r="B415">
        <v>0</v>
      </c>
      <c r="C415" s="1">
        <v>35515</v>
      </c>
      <c r="D415">
        <v>1</v>
      </c>
      <c r="E415" t="s">
        <v>20</v>
      </c>
      <c r="F415" t="s">
        <v>261</v>
      </c>
      <c r="G415" s="1">
        <v>35515</v>
      </c>
      <c r="H415" s="2">
        <v>7989.55</v>
      </c>
      <c r="I415" s="2">
        <f t="shared" si="6"/>
        <v>-7988.55</v>
      </c>
      <c r="J415">
        <v>1</v>
      </c>
      <c r="K415" t="s">
        <v>23</v>
      </c>
      <c r="L415">
        <v>10700040</v>
      </c>
      <c r="M415" t="s">
        <v>65</v>
      </c>
      <c r="N415">
        <v>22200</v>
      </c>
      <c r="O415" t="s">
        <v>34</v>
      </c>
      <c r="P415" t="s">
        <v>26</v>
      </c>
      <c r="Q415" t="s">
        <v>141</v>
      </c>
      <c r="R415">
        <v>164500</v>
      </c>
      <c r="S415" t="s">
        <v>63</v>
      </c>
      <c r="T415">
        <v>1</v>
      </c>
      <c r="U415">
        <v>0</v>
      </c>
      <c r="V415">
        <v>0</v>
      </c>
      <c r="W415">
        <v>0</v>
      </c>
      <c r="X415">
        <v>0</v>
      </c>
      <c r="Y415" s="2">
        <v>-7098.75</v>
      </c>
      <c r="Z415" s="2">
        <v>7099.75</v>
      </c>
      <c r="AA415">
        <v>0</v>
      </c>
    </row>
    <row r="416" spans="1:27" x14ac:dyDescent="0.35">
      <c r="A416">
        <v>2612</v>
      </c>
      <c r="B416">
        <v>0</v>
      </c>
      <c r="C416" s="1">
        <v>35515</v>
      </c>
      <c r="D416">
        <v>1</v>
      </c>
      <c r="E416" t="s">
        <v>20</v>
      </c>
      <c r="F416" t="s">
        <v>262</v>
      </c>
      <c r="G416" s="1">
        <v>35515</v>
      </c>
      <c r="H416" s="2">
        <v>10309.09</v>
      </c>
      <c r="I416" s="2">
        <f t="shared" si="6"/>
        <v>-10308.09</v>
      </c>
      <c r="J416">
        <v>1</v>
      </c>
      <c r="K416" t="s">
        <v>23</v>
      </c>
      <c r="L416">
        <v>10700040</v>
      </c>
      <c r="M416" t="s">
        <v>65</v>
      </c>
      <c r="N416">
        <v>22200</v>
      </c>
      <c r="O416" t="s">
        <v>34</v>
      </c>
      <c r="P416" t="s">
        <v>26</v>
      </c>
      <c r="Q416" t="s">
        <v>141</v>
      </c>
      <c r="R416">
        <v>164500</v>
      </c>
      <c r="S416" t="s">
        <v>63</v>
      </c>
      <c r="T416">
        <v>1</v>
      </c>
      <c r="U416">
        <v>0</v>
      </c>
      <c r="V416">
        <v>0</v>
      </c>
      <c r="W416">
        <v>0</v>
      </c>
      <c r="X416">
        <v>0</v>
      </c>
      <c r="Y416" s="2">
        <v>-16999</v>
      </c>
      <c r="Z416" s="2">
        <v>17000</v>
      </c>
      <c r="AA416">
        <v>0</v>
      </c>
    </row>
    <row r="417" spans="1:27" x14ac:dyDescent="0.35">
      <c r="A417">
        <v>2638</v>
      </c>
      <c r="B417">
        <v>0</v>
      </c>
      <c r="C417" s="1">
        <v>35606</v>
      </c>
      <c r="D417">
        <v>1</v>
      </c>
      <c r="E417" t="s">
        <v>20</v>
      </c>
      <c r="F417" t="s">
        <v>271</v>
      </c>
      <c r="G417" s="1">
        <v>35606</v>
      </c>
      <c r="H417" s="2">
        <v>9500</v>
      </c>
      <c r="I417" s="2">
        <f t="shared" si="6"/>
        <v>-9499</v>
      </c>
      <c r="J417">
        <v>1</v>
      </c>
      <c r="K417" t="s">
        <v>23</v>
      </c>
      <c r="L417">
        <v>10700040</v>
      </c>
      <c r="M417" t="s">
        <v>65</v>
      </c>
      <c r="N417">
        <v>23500</v>
      </c>
      <c r="O417" t="s">
        <v>51</v>
      </c>
      <c r="P417" t="s">
        <v>26</v>
      </c>
      <c r="Q417" t="s">
        <v>88</v>
      </c>
      <c r="R417">
        <v>164500</v>
      </c>
      <c r="S417" t="s">
        <v>63</v>
      </c>
      <c r="T417">
        <v>1</v>
      </c>
      <c r="U417">
        <v>0</v>
      </c>
      <c r="V417">
        <v>0</v>
      </c>
      <c r="W417">
        <v>0</v>
      </c>
      <c r="X417">
        <v>0</v>
      </c>
      <c r="Y417" s="2">
        <v>-16999</v>
      </c>
      <c r="Z417" s="2">
        <v>17000</v>
      </c>
      <c r="AA417">
        <v>0</v>
      </c>
    </row>
    <row r="418" spans="1:27" x14ac:dyDescent="0.35">
      <c r="A418">
        <v>2609</v>
      </c>
      <c r="B418">
        <v>0</v>
      </c>
      <c r="C418" s="1">
        <v>35657</v>
      </c>
      <c r="D418">
        <v>2</v>
      </c>
      <c r="E418" t="s">
        <v>20</v>
      </c>
      <c r="F418" t="s">
        <v>272</v>
      </c>
      <c r="G418" s="1">
        <v>35657</v>
      </c>
      <c r="H418" s="2">
        <v>10890.91</v>
      </c>
      <c r="I418" s="2">
        <f t="shared" si="6"/>
        <v>-10889.91</v>
      </c>
      <c r="J418">
        <v>1</v>
      </c>
      <c r="K418" t="s">
        <v>23</v>
      </c>
      <c r="L418">
        <v>10700040</v>
      </c>
      <c r="M418" t="s">
        <v>65</v>
      </c>
      <c r="N418">
        <v>22200</v>
      </c>
      <c r="O418" t="s">
        <v>34</v>
      </c>
      <c r="P418" t="s">
        <v>26</v>
      </c>
      <c r="Q418" t="s">
        <v>141</v>
      </c>
      <c r="R418">
        <v>164500</v>
      </c>
      <c r="S418" t="s">
        <v>63</v>
      </c>
      <c r="T418">
        <v>1</v>
      </c>
      <c r="U418">
        <v>0</v>
      </c>
      <c r="V418">
        <v>0</v>
      </c>
      <c r="W418">
        <v>0</v>
      </c>
      <c r="X418">
        <v>0</v>
      </c>
      <c r="Y418" s="2">
        <v>-102999</v>
      </c>
      <c r="Z418" s="2">
        <v>103000</v>
      </c>
      <c r="AA418">
        <v>0</v>
      </c>
    </row>
    <row r="419" spans="1:27" x14ac:dyDescent="0.35">
      <c r="A419">
        <v>2637</v>
      </c>
      <c r="B419">
        <v>0</v>
      </c>
      <c r="C419" s="1">
        <v>35662</v>
      </c>
      <c r="D419">
        <v>1</v>
      </c>
      <c r="E419" t="s">
        <v>20</v>
      </c>
      <c r="F419" t="s">
        <v>273</v>
      </c>
      <c r="G419" s="1">
        <v>35662</v>
      </c>
      <c r="H419" s="2">
        <v>42220.91</v>
      </c>
      <c r="I419" s="2">
        <f t="shared" si="6"/>
        <v>-42219.91</v>
      </c>
      <c r="J419">
        <v>1</v>
      </c>
      <c r="K419" t="s">
        <v>23</v>
      </c>
      <c r="L419">
        <v>10700040</v>
      </c>
      <c r="M419" t="s">
        <v>65</v>
      </c>
      <c r="N419">
        <v>23500</v>
      </c>
      <c r="O419" t="s">
        <v>51</v>
      </c>
      <c r="P419" t="s">
        <v>26</v>
      </c>
      <c r="Q419" t="s">
        <v>88</v>
      </c>
      <c r="R419">
        <v>164500</v>
      </c>
      <c r="S419" t="s">
        <v>63</v>
      </c>
      <c r="T419">
        <v>1</v>
      </c>
      <c r="U419">
        <v>0</v>
      </c>
      <c r="V419">
        <v>0</v>
      </c>
      <c r="W419">
        <v>0</v>
      </c>
      <c r="X419">
        <v>0</v>
      </c>
      <c r="Y419" s="2">
        <v>-12574</v>
      </c>
      <c r="Z419" s="2">
        <v>12575</v>
      </c>
      <c r="AA419">
        <v>0</v>
      </c>
    </row>
    <row r="420" spans="1:27" x14ac:dyDescent="0.35">
      <c r="A420">
        <v>2635</v>
      </c>
      <c r="B420">
        <v>0</v>
      </c>
      <c r="C420" s="1">
        <v>35676</v>
      </c>
      <c r="D420">
        <v>1</v>
      </c>
      <c r="E420" t="s">
        <v>20</v>
      </c>
      <c r="F420" t="s">
        <v>277</v>
      </c>
      <c r="G420" s="1">
        <v>35676</v>
      </c>
      <c r="H420" s="2">
        <v>10863.64</v>
      </c>
      <c r="I420" s="2">
        <f t="shared" si="6"/>
        <v>-10862.64</v>
      </c>
      <c r="J420">
        <v>1</v>
      </c>
      <c r="K420" t="s">
        <v>23</v>
      </c>
      <c r="L420">
        <v>10700040</v>
      </c>
      <c r="M420" t="s">
        <v>65</v>
      </c>
      <c r="N420">
        <v>23500</v>
      </c>
      <c r="O420" t="s">
        <v>51</v>
      </c>
      <c r="P420" t="s">
        <v>26</v>
      </c>
      <c r="Q420" t="s">
        <v>88</v>
      </c>
      <c r="R420">
        <v>164500</v>
      </c>
      <c r="S420" t="s">
        <v>63</v>
      </c>
      <c r="T420">
        <v>1</v>
      </c>
      <c r="U420">
        <v>0</v>
      </c>
      <c r="V420">
        <v>0</v>
      </c>
      <c r="W420">
        <v>0</v>
      </c>
      <c r="X420">
        <v>0</v>
      </c>
      <c r="Y420" s="2">
        <v>-407189</v>
      </c>
      <c r="Z420" s="2">
        <v>407190</v>
      </c>
      <c r="AA420">
        <v>0</v>
      </c>
    </row>
    <row r="421" spans="1:27" x14ac:dyDescent="0.35">
      <c r="A421">
        <v>2634</v>
      </c>
      <c r="B421">
        <v>0</v>
      </c>
      <c r="C421" s="1">
        <v>35804</v>
      </c>
      <c r="D421">
        <v>1</v>
      </c>
      <c r="E421" t="s">
        <v>20</v>
      </c>
      <c r="F421" t="s">
        <v>286</v>
      </c>
      <c r="G421" s="1">
        <v>35804</v>
      </c>
      <c r="H421" s="2">
        <v>5313.64</v>
      </c>
      <c r="I421" s="2">
        <f t="shared" si="6"/>
        <v>-5312.64</v>
      </c>
      <c r="J421">
        <v>1</v>
      </c>
      <c r="K421" t="s">
        <v>23</v>
      </c>
      <c r="L421">
        <v>10700040</v>
      </c>
      <c r="M421" t="s">
        <v>65</v>
      </c>
      <c r="N421">
        <v>23500</v>
      </c>
      <c r="O421" t="s">
        <v>51</v>
      </c>
      <c r="P421" t="s">
        <v>26</v>
      </c>
      <c r="Q421" t="s">
        <v>88</v>
      </c>
      <c r="R421">
        <v>164500</v>
      </c>
      <c r="S421" t="s">
        <v>63</v>
      </c>
      <c r="T421">
        <v>0</v>
      </c>
      <c r="U421">
        <v>0</v>
      </c>
      <c r="V421">
        <v>0</v>
      </c>
      <c r="W421">
        <v>0</v>
      </c>
      <c r="X421">
        <v>0</v>
      </c>
      <c r="Y421" s="2">
        <v>-407190</v>
      </c>
      <c r="Z421" s="2">
        <v>407190</v>
      </c>
      <c r="AA421">
        <v>0</v>
      </c>
    </row>
    <row r="422" spans="1:27" x14ac:dyDescent="0.35">
      <c r="A422">
        <v>2630</v>
      </c>
      <c r="B422">
        <v>0</v>
      </c>
      <c r="C422" s="1">
        <v>35972</v>
      </c>
      <c r="D422">
        <v>1</v>
      </c>
      <c r="E422" t="s">
        <v>20</v>
      </c>
      <c r="F422" t="s">
        <v>297</v>
      </c>
      <c r="G422" s="1">
        <v>35972</v>
      </c>
      <c r="H422" s="2">
        <v>11963.64</v>
      </c>
      <c r="I422" s="2">
        <f t="shared" si="6"/>
        <v>-11962.64</v>
      </c>
      <c r="J422">
        <v>1</v>
      </c>
      <c r="K422" t="s">
        <v>23</v>
      </c>
      <c r="L422">
        <v>10700040</v>
      </c>
      <c r="M422" t="s">
        <v>65</v>
      </c>
      <c r="N422">
        <v>23500</v>
      </c>
      <c r="O422" t="s">
        <v>51</v>
      </c>
      <c r="P422" t="s">
        <v>26</v>
      </c>
      <c r="Q422" t="s">
        <v>88</v>
      </c>
      <c r="R422">
        <v>164500</v>
      </c>
      <c r="S422" t="s">
        <v>63</v>
      </c>
      <c r="T422">
        <v>1</v>
      </c>
      <c r="U422">
        <v>0</v>
      </c>
      <c r="V422">
        <v>0</v>
      </c>
      <c r="W422">
        <v>0</v>
      </c>
      <c r="X422">
        <v>0</v>
      </c>
      <c r="Y422" s="2">
        <v>-7499</v>
      </c>
      <c r="Z422" s="2">
        <v>7500</v>
      </c>
      <c r="AA422">
        <v>0</v>
      </c>
    </row>
    <row r="423" spans="1:27" x14ac:dyDescent="0.35">
      <c r="A423">
        <v>2631</v>
      </c>
      <c r="B423">
        <v>0</v>
      </c>
      <c r="C423" s="1">
        <v>35972</v>
      </c>
      <c r="D423">
        <v>1</v>
      </c>
      <c r="E423" t="s">
        <v>20</v>
      </c>
      <c r="F423" t="s">
        <v>297</v>
      </c>
      <c r="G423" s="1">
        <v>35972</v>
      </c>
      <c r="H423" s="2">
        <v>5981.82</v>
      </c>
      <c r="I423" s="2">
        <f t="shared" si="6"/>
        <v>-5980.82</v>
      </c>
      <c r="J423">
        <v>1</v>
      </c>
      <c r="K423" t="s">
        <v>23</v>
      </c>
      <c r="L423">
        <v>10700040</v>
      </c>
      <c r="M423" t="s">
        <v>65</v>
      </c>
      <c r="N423">
        <v>23500</v>
      </c>
      <c r="O423" t="s">
        <v>51</v>
      </c>
      <c r="P423" t="s">
        <v>26</v>
      </c>
      <c r="Q423" t="s">
        <v>88</v>
      </c>
      <c r="R423">
        <v>164500</v>
      </c>
      <c r="S423" t="s">
        <v>63</v>
      </c>
      <c r="T423">
        <v>1</v>
      </c>
      <c r="U423">
        <v>0</v>
      </c>
      <c r="V423">
        <v>0</v>
      </c>
      <c r="W423">
        <v>0</v>
      </c>
      <c r="X423">
        <v>0</v>
      </c>
      <c r="Y423" s="2">
        <v>-13286.5</v>
      </c>
      <c r="Z423" s="2">
        <v>13287.5</v>
      </c>
      <c r="AA423">
        <v>0</v>
      </c>
    </row>
    <row r="424" spans="1:27" x14ac:dyDescent="0.35">
      <c r="A424">
        <v>2632</v>
      </c>
      <c r="B424">
        <v>0</v>
      </c>
      <c r="C424" s="1">
        <v>35972</v>
      </c>
      <c r="D424">
        <v>1</v>
      </c>
      <c r="E424" t="s">
        <v>20</v>
      </c>
      <c r="F424" t="s">
        <v>297</v>
      </c>
      <c r="G424" s="1">
        <v>35972</v>
      </c>
      <c r="H424" s="2">
        <v>5981.82</v>
      </c>
      <c r="I424" s="2">
        <f t="shared" si="6"/>
        <v>-5980.82</v>
      </c>
      <c r="J424">
        <v>1</v>
      </c>
      <c r="K424" t="s">
        <v>23</v>
      </c>
      <c r="L424">
        <v>10700040</v>
      </c>
      <c r="M424" t="s">
        <v>65</v>
      </c>
      <c r="N424">
        <v>23500</v>
      </c>
      <c r="O424" t="s">
        <v>51</v>
      </c>
      <c r="P424" t="s">
        <v>26</v>
      </c>
      <c r="Q424" t="s">
        <v>88</v>
      </c>
      <c r="R424">
        <v>164500</v>
      </c>
      <c r="S424" t="s">
        <v>63</v>
      </c>
      <c r="T424">
        <v>1</v>
      </c>
      <c r="U424">
        <v>0</v>
      </c>
      <c r="V424">
        <v>0</v>
      </c>
      <c r="W424">
        <v>0</v>
      </c>
      <c r="X424">
        <v>0</v>
      </c>
      <c r="Y424" s="2">
        <v>-13286.5</v>
      </c>
      <c r="Z424" s="2">
        <v>13287.5</v>
      </c>
      <c r="AA424">
        <v>0</v>
      </c>
    </row>
    <row r="425" spans="1:27" x14ac:dyDescent="0.35">
      <c r="A425">
        <v>2633</v>
      </c>
      <c r="B425">
        <v>0</v>
      </c>
      <c r="C425" s="1">
        <v>35972</v>
      </c>
      <c r="D425">
        <v>1</v>
      </c>
      <c r="E425" t="s">
        <v>20</v>
      </c>
      <c r="F425" t="s">
        <v>297</v>
      </c>
      <c r="G425" s="1">
        <v>35972</v>
      </c>
      <c r="H425" s="2">
        <v>5981.82</v>
      </c>
      <c r="I425" s="2">
        <f t="shared" si="6"/>
        <v>-5980.82</v>
      </c>
      <c r="J425">
        <v>1</v>
      </c>
      <c r="K425" t="s">
        <v>23</v>
      </c>
      <c r="L425">
        <v>10700040</v>
      </c>
      <c r="M425" t="s">
        <v>65</v>
      </c>
      <c r="N425">
        <v>23500</v>
      </c>
      <c r="O425" t="s">
        <v>51</v>
      </c>
      <c r="P425" t="s">
        <v>26</v>
      </c>
      <c r="Q425" t="s">
        <v>88</v>
      </c>
      <c r="R425">
        <v>164500</v>
      </c>
      <c r="S425" t="s">
        <v>63</v>
      </c>
      <c r="T425">
        <v>1</v>
      </c>
      <c r="U425">
        <v>0</v>
      </c>
      <c r="V425">
        <v>0</v>
      </c>
      <c r="W425">
        <v>0</v>
      </c>
      <c r="X425">
        <v>0</v>
      </c>
      <c r="Y425" s="2">
        <v>-9198</v>
      </c>
      <c r="Z425" s="2">
        <v>9199</v>
      </c>
      <c r="AA425">
        <v>0</v>
      </c>
    </row>
    <row r="426" spans="1:27" x14ac:dyDescent="0.35">
      <c r="A426">
        <v>2628</v>
      </c>
      <c r="B426">
        <v>0</v>
      </c>
      <c r="C426" s="1">
        <v>36017</v>
      </c>
      <c r="D426">
        <v>1</v>
      </c>
      <c r="E426" t="s">
        <v>20</v>
      </c>
      <c r="F426" t="s">
        <v>302</v>
      </c>
      <c r="G426" s="1">
        <v>36017</v>
      </c>
      <c r="H426" s="2">
        <v>5450</v>
      </c>
      <c r="I426" s="2">
        <f t="shared" si="6"/>
        <v>-5449</v>
      </c>
      <c r="J426">
        <v>1</v>
      </c>
      <c r="K426" t="s">
        <v>23</v>
      </c>
      <c r="L426">
        <v>10700040</v>
      </c>
      <c r="M426" t="s">
        <v>65</v>
      </c>
      <c r="N426">
        <v>23500</v>
      </c>
      <c r="O426" t="s">
        <v>51</v>
      </c>
      <c r="P426" t="s">
        <v>26</v>
      </c>
      <c r="Q426" t="s">
        <v>88</v>
      </c>
      <c r="R426">
        <v>164500</v>
      </c>
      <c r="S426" t="s">
        <v>63</v>
      </c>
      <c r="T426">
        <v>1</v>
      </c>
      <c r="U426">
        <v>0</v>
      </c>
      <c r="V426">
        <v>0</v>
      </c>
      <c r="W426">
        <v>0</v>
      </c>
      <c r="X426">
        <v>0</v>
      </c>
      <c r="Y426" s="2">
        <v>-9198</v>
      </c>
      <c r="Z426" s="2">
        <v>9199</v>
      </c>
      <c r="AA426">
        <v>0</v>
      </c>
    </row>
    <row r="427" spans="1:27" x14ac:dyDescent="0.35">
      <c r="A427">
        <v>2629</v>
      </c>
      <c r="B427">
        <v>0</v>
      </c>
      <c r="C427" s="1">
        <v>36017</v>
      </c>
      <c r="D427">
        <v>1</v>
      </c>
      <c r="E427" t="s">
        <v>20</v>
      </c>
      <c r="F427" t="s">
        <v>303</v>
      </c>
      <c r="G427" s="1">
        <v>36017</v>
      </c>
      <c r="H427" s="2">
        <v>6072.73</v>
      </c>
      <c r="I427" s="2">
        <f t="shared" si="6"/>
        <v>-6071.73</v>
      </c>
      <c r="J427">
        <v>1</v>
      </c>
      <c r="K427" t="s">
        <v>23</v>
      </c>
      <c r="L427">
        <v>10700040</v>
      </c>
      <c r="M427" t="s">
        <v>65</v>
      </c>
      <c r="N427">
        <v>23500</v>
      </c>
      <c r="O427" t="s">
        <v>51</v>
      </c>
      <c r="P427" t="s">
        <v>26</v>
      </c>
      <c r="Q427" t="s">
        <v>88</v>
      </c>
      <c r="R427">
        <v>164500</v>
      </c>
      <c r="S427" t="s">
        <v>63</v>
      </c>
      <c r="T427">
        <v>1</v>
      </c>
      <c r="U427">
        <v>0</v>
      </c>
      <c r="V427">
        <v>0</v>
      </c>
      <c r="W427">
        <v>0</v>
      </c>
      <c r="X427">
        <v>0</v>
      </c>
      <c r="Y427" s="2">
        <v>-9198</v>
      </c>
      <c r="Z427" s="2">
        <v>9199</v>
      </c>
      <c r="AA427">
        <v>0</v>
      </c>
    </row>
    <row r="428" spans="1:27" x14ac:dyDescent="0.35">
      <c r="A428">
        <v>2627</v>
      </c>
      <c r="B428">
        <v>0</v>
      </c>
      <c r="C428" s="1">
        <v>36077</v>
      </c>
      <c r="D428">
        <v>1</v>
      </c>
      <c r="E428" t="s">
        <v>20</v>
      </c>
      <c r="F428" t="s">
        <v>305</v>
      </c>
      <c r="G428" s="1">
        <v>36077</v>
      </c>
      <c r="H428" s="2">
        <v>9436.36</v>
      </c>
      <c r="I428" s="2">
        <f t="shared" si="6"/>
        <v>-9435.36</v>
      </c>
      <c r="J428">
        <v>1</v>
      </c>
      <c r="K428" t="s">
        <v>23</v>
      </c>
      <c r="L428">
        <v>10700040</v>
      </c>
      <c r="M428" t="s">
        <v>65</v>
      </c>
      <c r="N428">
        <v>23500</v>
      </c>
      <c r="O428" t="s">
        <v>51</v>
      </c>
      <c r="P428" t="s">
        <v>26</v>
      </c>
      <c r="Q428" t="s">
        <v>88</v>
      </c>
      <c r="R428">
        <v>164500</v>
      </c>
      <c r="S428" t="s">
        <v>63</v>
      </c>
      <c r="T428">
        <v>1</v>
      </c>
      <c r="U428">
        <v>0</v>
      </c>
      <c r="V428">
        <v>0</v>
      </c>
      <c r="W428">
        <v>0</v>
      </c>
      <c r="X428">
        <v>0</v>
      </c>
      <c r="Y428" s="2">
        <v>-12068</v>
      </c>
      <c r="Z428" s="2">
        <v>12069</v>
      </c>
      <c r="AA428">
        <v>0</v>
      </c>
    </row>
    <row r="429" spans="1:27" x14ac:dyDescent="0.35">
      <c r="A429">
        <v>2626</v>
      </c>
      <c r="B429">
        <v>0</v>
      </c>
      <c r="C429" s="1">
        <v>36181</v>
      </c>
      <c r="D429">
        <v>2</v>
      </c>
      <c r="E429" t="s">
        <v>20</v>
      </c>
      <c r="F429" t="s">
        <v>306</v>
      </c>
      <c r="G429" s="1">
        <v>36181</v>
      </c>
      <c r="H429" s="2">
        <v>12027.27</v>
      </c>
      <c r="I429" s="2">
        <f t="shared" si="6"/>
        <v>-12026.27</v>
      </c>
      <c r="J429">
        <v>1</v>
      </c>
      <c r="K429" t="s">
        <v>23</v>
      </c>
      <c r="L429">
        <v>10700040</v>
      </c>
      <c r="M429" t="s">
        <v>65</v>
      </c>
      <c r="N429">
        <v>23500</v>
      </c>
      <c r="O429" t="s">
        <v>51</v>
      </c>
      <c r="P429" t="s">
        <v>26</v>
      </c>
      <c r="Q429" t="s">
        <v>88</v>
      </c>
      <c r="R429">
        <v>164500</v>
      </c>
      <c r="S429" t="s">
        <v>63</v>
      </c>
      <c r="T429">
        <v>1</v>
      </c>
      <c r="U429">
        <v>0</v>
      </c>
      <c r="V429">
        <v>0</v>
      </c>
      <c r="W429">
        <v>0</v>
      </c>
      <c r="X429">
        <v>0</v>
      </c>
      <c r="Y429" s="2">
        <v>-9198</v>
      </c>
      <c r="Z429" s="2">
        <v>9199</v>
      </c>
      <c r="AA429">
        <v>0</v>
      </c>
    </row>
    <row r="430" spans="1:27" x14ac:dyDescent="0.35">
      <c r="A430">
        <v>2623</v>
      </c>
      <c r="B430">
        <v>0</v>
      </c>
      <c r="C430" s="1">
        <v>36556</v>
      </c>
      <c r="D430">
        <v>1</v>
      </c>
      <c r="E430" t="s">
        <v>20</v>
      </c>
      <c r="F430" t="s">
        <v>316</v>
      </c>
      <c r="G430" s="1">
        <v>36556</v>
      </c>
      <c r="H430" s="2">
        <v>7727.27</v>
      </c>
      <c r="I430" s="2">
        <f t="shared" si="6"/>
        <v>-7726.27</v>
      </c>
      <c r="J430">
        <v>1</v>
      </c>
      <c r="K430" t="s">
        <v>23</v>
      </c>
      <c r="L430">
        <v>10700040</v>
      </c>
      <c r="M430" t="s">
        <v>65</v>
      </c>
      <c r="N430">
        <v>23500</v>
      </c>
      <c r="O430" t="s">
        <v>51</v>
      </c>
      <c r="P430" t="s">
        <v>26</v>
      </c>
      <c r="Q430" t="s">
        <v>88</v>
      </c>
      <c r="R430">
        <v>164500</v>
      </c>
      <c r="S430" t="s">
        <v>63</v>
      </c>
      <c r="T430">
        <v>1</v>
      </c>
      <c r="U430">
        <v>0</v>
      </c>
      <c r="V430">
        <v>0</v>
      </c>
      <c r="W430">
        <v>0</v>
      </c>
      <c r="X430">
        <v>0</v>
      </c>
      <c r="Y430" s="2">
        <v>-19599</v>
      </c>
      <c r="Z430" s="2">
        <v>19600</v>
      </c>
      <c r="AA430">
        <v>0</v>
      </c>
    </row>
    <row r="431" spans="1:27" x14ac:dyDescent="0.35">
      <c r="A431">
        <v>2624</v>
      </c>
      <c r="B431">
        <v>0</v>
      </c>
      <c r="C431" s="1">
        <v>36556</v>
      </c>
      <c r="D431">
        <v>2</v>
      </c>
      <c r="E431" t="s">
        <v>20</v>
      </c>
      <c r="F431" t="s">
        <v>316</v>
      </c>
      <c r="G431" s="1">
        <v>36556</v>
      </c>
      <c r="H431" s="2">
        <v>15454.55</v>
      </c>
      <c r="I431" s="2">
        <f t="shared" si="6"/>
        <v>-15453.55</v>
      </c>
      <c r="J431">
        <v>1</v>
      </c>
      <c r="K431" t="s">
        <v>23</v>
      </c>
      <c r="L431">
        <v>10700040</v>
      </c>
      <c r="M431" t="s">
        <v>65</v>
      </c>
      <c r="N431">
        <v>23500</v>
      </c>
      <c r="O431" t="s">
        <v>51</v>
      </c>
      <c r="P431" t="s">
        <v>26</v>
      </c>
      <c r="Q431" t="s">
        <v>88</v>
      </c>
      <c r="R431">
        <v>164500</v>
      </c>
      <c r="S431" t="s">
        <v>63</v>
      </c>
      <c r="T431">
        <v>1</v>
      </c>
      <c r="U431">
        <v>0</v>
      </c>
      <c r="V431">
        <v>0</v>
      </c>
      <c r="W431">
        <v>0</v>
      </c>
      <c r="X431">
        <v>0</v>
      </c>
      <c r="Y431" s="2">
        <v>-19599</v>
      </c>
      <c r="Z431" s="2">
        <v>19600</v>
      </c>
      <c r="AA431">
        <v>0</v>
      </c>
    </row>
    <row r="432" spans="1:27" x14ac:dyDescent="0.35">
      <c r="A432">
        <v>2276</v>
      </c>
      <c r="B432">
        <v>0</v>
      </c>
      <c r="C432" s="1">
        <v>36903</v>
      </c>
      <c r="D432">
        <v>1</v>
      </c>
      <c r="E432" t="s">
        <v>20</v>
      </c>
      <c r="F432" t="s">
        <v>333</v>
      </c>
      <c r="G432" s="1">
        <v>36892</v>
      </c>
      <c r="H432" s="2">
        <v>6790</v>
      </c>
      <c r="I432" s="2">
        <f t="shared" si="6"/>
        <v>-6789</v>
      </c>
      <c r="J432">
        <v>1</v>
      </c>
      <c r="K432" t="s">
        <v>23</v>
      </c>
      <c r="L432">
        <v>10700040</v>
      </c>
      <c r="M432" t="s">
        <v>65</v>
      </c>
      <c r="N432">
        <v>23500</v>
      </c>
      <c r="O432" t="s">
        <v>51</v>
      </c>
      <c r="P432" t="s">
        <v>26</v>
      </c>
      <c r="Q432" t="s">
        <v>26</v>
      </c>
      <c r="R432">
        <v>164500</v>
      </c>
      <c r="S432" t="s">
        <v>63</v>
      </c>
      <c r="T432">
        <v>1</v>
      </c>
      <c r="U432">
        <v>0</v>
      </c>
      <c r="V432">
        <v>0</v>
      </c>
      <c r="W432">
        <v>0</v>
      </c>
      <c r="X432">
        <v>0</v>
      </c>
      <c r="Y432" s="2">
        <v>-26329</v>
      </c>
      <c r="Z432" s="2">
        <v>26330</v>
      </c>
      <c r="AA432">
        <v>0</v>
      </c>
    </row>
    <row r="433" spans="1:27" x14ac:dyDescent="0.35">
      <c r="A433">
        <v>2283</v>
      </c>
      <c r="B433">
        <v>0</v>
      </c>
      <c r="C433" s="1">
        <v>37372</v>
      </c>
      <c r="D433">
        <v>1</v>
      </c>
      <c r="E433" t="s">
        <v>20</v>
      </c>
      <c r="F433" t="s">
        <v>345</v>
      </c>
      <c r="G433" s="1">
        <v>37377</v>
      </c>
      <c r="H433" s="2">
        <v>43900</v>
      </c>
      <c r="I433" s="2">
        <f t="shared" si="6"/>
        <v>-43899</v>
      </c>
      <c r="J433">
        <v>1</v>
      </c>
      <c r="K433" t="s">
        <v>23</v>
      </c>
      <c r="L433">
        <v>10700040</v>
      </c>
      <c r="M433" t="s">
        <v>65</v>
      </c>
      <c r="N433">
        <v>22101</v>
      </c>
      <c r="O433" t="s">
        <v>57</v>
      </c>
      <c r="P433" t="s">
        <v>26</v>
      </c>
      <c r="Q433" t="s">
        <v>38</v>
      </c>
      <c r="R433">
        <v>164500</v>
      </c>
      <c r="S433" t="s">
        <v>63</v>
      </c>
      <c r="T433">
        <v>1</v>
      </c>
      <c r="U433">
        <v>0</v>
      </c>
      <c r="V433">
        <v>0</v>
      </c>
      <c r="W433">
        <v>0</v>
      </c>
      <c r="X433">
        <v>0</v>
      </c>
      <c r="Y433" s="2">
        <v>-26329</v>
      </c>
      <c r="Z433" s="2">
        <v>26330</v>
      </c>
      <c r="AA433">
        <v>0</v>
      </c>
    </row>
    <row r="434" spans="1:27" x14ac:dyDescent="0.35">
      <c r="A434">
        <v>2278</v>
      </c>
      <c r="B434">
        <v>0</v>
      </c>
      <c r="C434" s="1">
        <v>37606</v>
      </c>
      <c r="D434">
        <v>2</v>
      </c>
      <c r="E434" t="s">
        <v>20</v>
      </c>
      <c r="F434" t="s">
        <v>347</v>
      </c>
      <c r="G434" s="1">
        <v>37622</v>
      </c>
      <c r="H434" s="2">
        <v>12709.09</v>
      </c>
      <c r="I434" s="2">
        <f t="shared" si="6"/>
        <v>-12708.09</v>
      </c>
      <c r="J434">
        <v>1</v>
      </c>
      <c r="K434" t="s">
        <v>23</v>
      </c>
      <c r="L434">
        <v>10700040</v>
      </c>
      <c r="M434" t="s">
        <v>65</v>
      </c>
      <c r="N434">
        <v>23500</v>
      </c>
      <c r="O434" t="s">
        <v>51</v>
      </c>
      <c r="P434" t="s">
        <v>26</v>
      </c>
      <c r="Q434" t="s">
        <v>26</v>
      </c>
      <c r="R434">
        <v>164500</v>
      </c>
      <c r="S434" t="s">
        <v>63</v>
      </c>
      <c r="T434">
        <v>1</v>
      </c>
      <c r="U434">
        <v>0</v>
      </c>
      <c r="V434">
        <v>0</v>
      </c>
      <c r="W434">
        <v>0</v>
      </c>
      <c r="X434">
        <v>0</v>
      </c>
      <c r="Y434" s="2">
        <v>-7374</v>
      </c>
      <c r="Z434" s="2">
        <v>7375</v>
      </c>
      <c r="AA434">
        <v>0</v>
      </c>
    </row>
    <row r="435" spans="1:27" x14ac:dyDescent="0.35">
      <c r="A435">
        <v>2317</v>
      </c>
      <c r="B435">
        <v>0</v>
      </c>
      <c r="C435" s="1">
        <v>38111</v>
      </c>
      <c r="D435">
        <v>1</v>
      </c>
      <c r="E435" t="s">
        <v>20</v>
      </c>
      <c r="F435" t="s">
        <v>360</v>
      </c>
      <c r="G435" s="1">
        <v>38108</v>
      </c>
      <c r="H435" s="2">
        <v>5450</v>
      </c>
      <c r="I435" s="2">
        <f t="shared" si="6"/>
        <v>-5449</v>
      </c>
      <c r="J435">
        <v>1</v>
      </c>
      <c r="K435" t="s">
        <v>23</v>
      </c>
      <c r="L435">
        <v>10700040</v>
      </c>
      <c r="M435" t="s">
        <v>65</v>
      </c>
      <c r="N435">
        <v>23500</v>
      </c>
      <c r="O435" t="s">
        <v>51</v>
      </c>
      <c r="P435" t="s">
        <v>26</v>
      </c>
      <c r="Q435" t="s">
        <v>26</v>
      </c>
      <c r="R435">
        <v>164500</v>
      </c>
      <c r="S435" t="s">
        <v>63</v>
      </c>
      <c r="T435">
        <v>1</v>
      </c>
      <c r="U435">
        <v>0</v>
      </c>
      <c r="V435">
        <v>0</v>
      </c>
      <c r="W435">
        <v>0</v>
      </c>
      <c r="X435">
        <v>0</v>
      </c>
      <c r="Y435" s="2">
        <v>-7199</v>
      </c>
      <c r="Z435" s="2">
        <v>7200</v>
      </c>
      <c r="AA435">
        <v>0</v>
      </c>
    </row>
    <row r="436" spans="1:27" x14ac:dyDescent="0.35">
      <c r="A436">
        <v>2320</v>
      </c>
      <c r="B436">
        <v>0</v>
      </c>
      <c r="C436" s="1">
        <v>38111</v>
      </c>
      <c r="D436">
        <v>2</v>
      </c>
      <c r="E436" t="s">
        <v>20</v>
      </c>
      <c r="F436" t="s">
        <v>360</v>
      </c>
      <c r="G436" s="1">
        <v>38108</v>
      </c>
      <c r="H436" s="2">
        <v>10900</v>
      </c>
      <c r="I436" s="2">
        <f t="shared" si="6"/>
        <v>-10899</v>
      </c>
      <c r="J436">
        <v>1</v>
      </c>
      <c r="K436" t="s">
        <v>23</v>
      </c>
      <c r="L436">
        <v>10700040</v>
      </c>
      <c r="M436" t="s">
        <v>65</v>
      </c>
      <c r="N436">
        <v>22100</v>
      </c>
      <c r="O436" t="s">
        <v>44</v>
      </c>
      <c r="P436" t="s">
        <v>26</v>
      </c>
      <c r="Q436" t="s">
        <v>38</v>
      </c>
      <c r="R436">
        <v>164500</v>
      </c>
      <c r="S436" t="s">
        <v>63</v>
      </c>
      <c r="T436">
        <v>1</v>
      </c>
      <c r="U436">
        <v>0</v>
      </c>
      <c r="V436">
        <v>0</v>
      </c>
      <c r="W436">
        <v>0</v>
      </c>
      <c r="X436">
        <v>0</v>
      </c>
      <c r="Y436" s="2">
        <v>-5515.68</v>
      </c>
      <c r="Z436" s="2">
        <v>5516.68</v>
      </c>
      <c r="AA436">
        <v>0</v>
      </c>
    </row>
    <row r="437" spans="1:27" x14ac:dyDescent="0.35">
      <c r="A437">
        <v>2312</v>
      </c>
      <c r="B437">
        <v>0</v>
      </c>
      <c r="C437" s="1">
        <v>38127</v>
      </c>
      <c r="D437">
        <v>2</v>
      </c>
      <c r="E437" t="s">
        <v>20</v>
      </c>
      <c r="F437" t="s">
        <v>361</v>
      </c>
      <c r="G437" s="1">
        <v>38139</v>
      </c>
      <c r="H437" s="2">
        <v>26663.64</v>
      </c>
      <c r="I437" s="2">
        <f t="shared" si="6"/>
        <v>-26662.639999999999</v>
      </c>
      <c r="J437">
        <v>1</v>
      </c>
      <c r="K437" t="s">
        <v>23</v>
      </c>
      <c r="L437">
        <v>10700040</v>
      </c>
      <c r="M437" t="s">
        <v>65</v>
      </c>
      <c r="N437">
        <v>23500</v>
      </c>
      <c r="O437" t="s">
        <v>51</v>
      </c>
      <c r="P437" t="s">
        <v>26</v>
      </c>
      <c r="Q437" t="s">
        <v>26</v>
      </c>
      <c r="R437">
        <v>164500</v>
      </c>
      <c r="S437" t="s">
        <v>63</v>
      </c>
      <c r="T437">
        <v>1</v>
      </c>
      <c r="U437">
        <v>0</v>
      </c>
      <c r="V437">
        <v>0</v>
      </c>
      <c r="W437">
        <v>0</v>
      </c>
      <c r="X437">
        <v>0</v>
      </c>
      <c r="Y437" s="2">
        <v>-5515.68</v>
      </c>
      <c r="Z437" s="2">
        <v>5516.68</v>
      </c>
      <c r="AA437">
        <v>0</v>
      </c>
    </row>
    <row r="438" spans="1:27" x14ac:dyDescent="0.35">
      <c r="A438">
        <v>2309</v>
      </c>
      <c r="B438">
        <v>0</v>
      </c>
      <c r="C438" s="1">
        <v>38211</v>
      </c>
      <c r="D438">
        <v>1</v>
      </c>
      <c r="E438" t="s">
        <v>20</v>
      </c>
      <c r="F438" t="s">
        <v>364</v>
      </c>
      <c r="G438" s="1">
        <v>38200</v>
      </c>
      <c r="H438" s="2">
        <v>8122.73</v>
      </c>
      <c r="I438" s="2">
        <f t="shared" si="6"/>
        <v>-8121.73</v>
      </c>
      <c r="J438">
        <v>1</v>
      </c>
      <c r="K438" t="s">
        <v>23</v>
      </c>
      <c r="L438">
        <v>10700040</v>
      </c>
      <c r="M438" t="s">
        <v>65</v>
      </c>
      <c r="N438">
        <v>23500</v>
      </c>
      <c r="O438" t="s">
        <v>51</v>
      </c>
      <c r="P438" t="s">
        <v>26</v>
      </c>
      <c r="Q438" t="s">
        <v>26</v>
      </c>
      <c r="R438">
        <v>164500</v>
      </c>
      <c r="S438" t="s">
        <v>63</v>
      </c>
      <c r="T438">
        <v>1</v>
      </c>
      <c r="U438">
        <v>0</v>
      </c>
      <c r="V438">
        <v>0</v>
      </c>
      <c r="W438">
        <v>0</v>
      </c>
      <c r="X438">
        <v>0</v>
      </c>
      <c r="Y438" s="2">
        <v>-5515.68</v>
      </c>
      <c r="Z438" s="2">
        <v>5516.68</v>
      </c>
      <c r="AA438">
        <v>0</v>
      </c>
    </row>
    <row r="439" spans="1:27" x14ac:dyDescent="0.35">
      <c r="A439">
        <v>2330</v>
      </c>
      <c r="B439">
        <v>0</v>
      </c>
      <c r="C439" s="1">
        <v>38633</v>
      </c>
      <c r="D439">
        <v>1</v>
      </c>
      <c r="E439" t="s">
        <v>20</v>
      </c>
      <c r="F439" t="s">
        <v>371</v>
      </c>
      <c r="G439" s="1">
        <v>38626</v>
      </c>
      <c r="H439" s="2">
        <v>7854.55</v>
      </c>
      <c r="I439" s="2">
        <f t="shared" si="6"/>
        <v>-7853.55</v>
      </c>
      <c r="J439">
        <v>1</v>
      </c>
      <c r="K439" t="s">
        <v>23</v>
      </c>
      <c r="L439">
        <v>10700040</v>
      </c>
      <c r="M439" t="s">
        <v>65</v>
      </c>
      <c r="N439">
        <v>23500</v>
      </c>
      <c r="O439" t="s">
        <v>51</v>
      </c>
      <c r="P439" t="s">
        <v>26</v>
      </c>
      <c r="Q439" t="s">
        <v>26</v>
      </c>
      <c r="R439">
        <v>164500</v>
      </c>
      <c r="S439" t="s">
        <v>63</v>
      </c>
      <c r="T439">
        <v>1</v>
      </c>
      <c r="U439">
        <v>0</v>
      </c>
      <c r="V439">
        <v>0</v>
      </c>
      <c r="W439">
        <v>0</v>
      </c>
      <c r="X439">
        <v>0</v>
      </c>
      <c r="Y439" s="2">
        <v>-5515.68</v>
      </c>
      <c r="Z439" s="2">
        <v>5516.68</v>
      </c>
      <c r="AA439">
        <v>0</v>
      </c>
    </row>
    <row r="440" spans="1:27" x14ac:dyDescent="0.35">
      <c r="A440">
        <v>2757</v>
      </c>
      <c r="B440">
        <v>0</v>
      </c>
      <c r="C440" s="1">
        <v>40272</v>
      </c>
      <c r="F440" t="s">
        <v>386</v>
      </c>
      <c r="G440" s="1">
        <v>40269</v>
      </c>
      <c r="H440" s="2">
        <v>325892.86</v>
      </c>
      <c r="I440" s="2">
        <f t="shared" si="6"/>
        <v>-325891.86</v>
      </c>
      <c r="J440">
        <v>1</v>
      </c>
      <c r="K440" t="s">
        <v>23</v>
      </c>
      <c r="L440">
        <v>10700040</v>
      </c>
      <c r="M440" t="s">
        <v>65</v>
      </c>
      <c r="N440">
        <v>22200</v>
      </c>
      <c r="O440" t="s">
        <v>34</v>
      </c>
      <c r="P440" t="s">
        <v>26</v>
      </c>
      <c r="Q440" t="s">
        <v>141</v>
      </c>
      <c r="R440">
        <v>164500</v>
      </c>
      <c r="S440" t="s">
        <v>63</v>
      </c>
      <c r="T440">
        <v>1</v>
      </c>
      <c r="U440">
        <v>0</v>
      </c>
      <c r="V440">
        <v>0</v>
      </c>
      <c r="W440">
        <v>0</v>
      </c>
      <c r="X440">
        <v>0</v>
      </c>
      <c r="Y440" s="2">
        <v>-5515.68</v>
      </c>
      <c r="Z440" s="2">
        <v>5516.68</v>
      </c>
      <c r="AA440">
        <v>0</v>
      </c>
    </row>
    <row r="441" spans="1:27" x14ac:dyDescent="0.35">
      <c r="A441">
        <v>2812</v>
      </c>
      <c r="B441">
        <v>0</v>
      </c>
      <c r="C441" s="1">
        <v>40663</v>
      </c>
      <c r="F441" t="s">
        <v>387</v>
      </c>
      <c r="G441" s="1">
        <v>40664</v>
      </c>
      <c r="H441" s="2">
        <v>258928.57</v>
      </c>
      <c r="I441" s="2">
        <f t="shared" si="6"/>
        <v>-258927.57</v>
      </c>
      <c r="J441">
        <v>1</v>
      </c>
      <c r="K441" t="s">
        <v>23</v>
      </c>
      <c r="L441">
        <v>10700040</v>
      </c>
      <c r="M441" t="s">
        <v>65</v>
      </c>
      <c r="N441">
        <v>22200</v>
      </c>
      <c r="O441" t="s">
        <v>34</v>
      </c>
      <c r="P441" t="s">
        <v>26</v>
      </c>
      <c r="Q441" t="s">
        <v>141</v>
      </c>
      <c r="R441">
        <v>164500</v>
      </c>
      <c r="S441" t="s">
        <v>63</v>
      </c>
      <c r="T441">
        <v>1</v>
      </c>
      <c r="U441">
        <v>0</v>
      </c>
      <c r="V441">
        <v>0</v>
      </c>
      <c r="W441">
        <v>0</v>
      </c>
      <c r="X441">
        <v>0</v>
      </c>
      <c r="Y441" s="2">
        <v>-8429</v>
      </c>
      <c r="Z441" s="2">
        <v>8430</v>
      </c>
      <c r="AA441">
        <v>0</v>
      </c>
    </row>
    <row r="442" spans="1:27" x14ac:dyDescent="0.35">
      <c r="A442">
        <v>2905</v>
      </c>
      <c r="B442">
        <v>0</v>
      </c>
      <c r="C442" s="1">
        <v>41025</v>
      </c>
      <c r="D442">
        <v>1</v>
      </c>
      <c r="E442" t="s">
        <v>334</v>
      </c>
      <c r="F442" t="s">
        <v>392</v>
      </c>
      <c r="G442" s="1">
        <v>41000</v>
      </c>
      <c r="H442" s="2">
        <v>47767.86</v>
      </c>
      <c r="I442" s="2">
        <f t="shared" si="6"/>
        <v>-47766.86</v>
      </c>
      <c r="J442">
        <v>1</v>
      </c>
      <c r="K442" t="s">
        <v>204</v>
      </c>
      <c r="L442">
        <v>10700040</v>
      </c>
      <c r="M442" t="s">
        <v>65</v>
      </c>
      <c r="N442">
        <v>21099</v>
      </c>
      <c r="O442" t="s">
        <v>388</v>
      </c>
      <c r="P442" t="s">
        <v>26</v>
      </c>
      <c r="Q442" t="s">
        <v>26</v>
      </c>
      <c r="R442">
        <v>164500</v>
      </c>
      <c r="S442" t="s">
        <v>63</v>
      </c>
      <c r="T442">
        <v>1</v>
      </c>
      <c r="U442">
        <v>0</v>
      </c>
      <c r="V442">
        <v>0</v>
      </c>
      <c r="W442">
        <v>0</v>
      </c>
      <c r="X442">
        <v>0</v>
      </c>
      <c r="Y442" s="2">
        <v>-8429</v>
      </c>
      <c r="Z442" s="2">
        <v>8430</v>
      </c>
      <c r="AA442">
        <v>0</v>
      </c>
    </row>
    <row r="443" spans="1:27" x14ac:dyDescent="0.35">
      <c r="A443">
        <v>3077</v>
      </c>
      <c r="B443">
        <v>0</v>
      </c>
      <c r="C443" s="1">
        <v>41481</v>
      </c>
      <c r="D443">
        <v>1</v>
      </c>
      <c r="E443" t="s">
        <v>334</v>
      </c>
      <c r="F443" t="s">
        <v>410</v>
      </c>
      <c r="G443" s="1">
        <v>41487</v>
      </c>
      <c r="H443" s="2">
        <v>14004.12</v>
      </c>
      <c r="I443" s="2">
        <f t="shared" si="6"/>
        <v>-14003.12</v>
      </c>
      <c r="J443">
        <v>1</v>
      </c>
      <c r="K443" t="s">
        <v>23</v>
      </c>
      <c r="L443">
        <v>10700040</v>
      </c>
      <c r="M443" t="s">
        <v>65</v>
      </c>
      <c r="N443">
        <v>21099</v>
      </c>
      <c r="O443" t="s">
        <v>388</v>
      </c>
      <c r="P443" t="s">
        <v>26</v>
      </c>
      <c r="Q443" t="s">
        <v>54</v>
      </c>
      <c r="R443">
        <v>164500</v>
      </c>
      <c r="S443" t="s">
        <v>63</v>
      </c>
      <c r="T443">
        <v>1</v>
      </c>
      <c r="U443">
        <v>0</v>
      </c>
      <c r="V443">
        <v>0</v>
      </c>
      <c r="W443">
        <v>0</v>
      </c>
      <c r="X443">
        <v>0</v>
      </c>
      <c r="Y443" s="2">
        <v>-8429</v>
      </c>
      <c r="Z443" s="2">
        <v>8430</v>
      </c>
      <c r="AA443">
        <v>0</v>
      </c>
    </row>
    <row r="444" spans="1:27" x14ac:dyDescent="0.35">
      <c r="A444">
        <v>3094</v>
      </c>
      <c r="B444">
        <v>0</v>
      </c>
      <c r="C444" s="1">
        <v>41515</v>
      </c>
      <c r="D444">
        <v>1</v>
      </c>
      <c r="E444" t="s">
        <v>334</v>
      </c>
      <c r="F444" t="s">
        <v>411</v>
      </c>
      <c r="G444" s="1">
        <v>41487</v>
      </c>
      <c r="H444" s="2">
        <v>9199</v>
      </c>
      <c r="I444" s="2">
        <f t="shared" si="6"/>
        <v>-9198</v>
      </c>
      <c r="J444">
        <v>1</v>
      </c>
      <c r="K444" t="s">
        <v>23</v>
      </c>
      <c r="L444">
        <v>10700040</v>
      </c>
      <c r="M444" t="s">
        <v>65</v>
      </c>
      <c r="N444">
        <v>23500</v>
      </c>
      <c r="O444" t="s">
        <v>51</v>
      </c>
      <c r="P444" t="s">
        <v>26</v>
      </c>
      <c r="Q444" t="s">
        <v>88</v>
      </c>
      <c r="R444">
        <v>164500</v>
      </c>
      <c r="S444" t="s">
        <v>63</v>
      </c>
      <c r="T444">
        <v>1</v>
      </c>
      <c r="U444">
        <v>0</v>
      </c>
      <c r="V444">
        <v>0</v>
      </c>
      <c r="W444">
        <v>0</v>
      </c>
      <c r="X444">
        <v>0</v>
      </c>
      <c r="Y444" s="2">
        <v>-8429</v>
      </c>
      <c r="Z444" s="2">
        <v>8430</v>
      </c>
      <c r="AA444">
        <v>0</v>
      </c>
    </row>
    <row r="445" spans="1:27" x14ac:dyDescent="0.35">
      <c r="A445">
        <v>3193</v>
      </c>
      <c r="B445">
        <v>0</v>
      </c>
      <c r="C445" s="1">
        <v>41759</v>
      </c>
      <c r="D445">
        <v>1</v>
      </c>
      <c r="E445" t="s">
        <v>334</v>
      </c>
      <c r="F445" t="s">
        <v>423</v>
      </c>
      <c r="G445" s="1">
        <v>41760</v>
      </c>
      <c r="H445" s="2">
        <v>29320.31</v>
      </c>
      <c r="I445" s="2">
        <f t="shared" si="6"/>
        <v>-29319.31</v>
      </c>
      <c r="J445">
        <v>1</v>
      </c>
      <c r="K445" t="s">
        <v>23</v>
      </c>
      <c r="L445">
        <v>10700040</v>
      </c>
      <c r="M445" t="s">
        <v>65</v>
      </c>
      <c r="N445">
        <v>21099</v>
      </c>
      <c r="O445" t="s">
        <v>388</v>
      </c>
      <c r="P445" t="s">
        <v>26</v>
      </c>
      <c r="Q445" t="s">
        <v>28</v>
      </c>
      <c r="R445">
        <v>164500</v>
      </c>
      <c r="S445" t="s">
        <v>63</v>
      </c>
      <c r="T445">
        <v>1</v>
      </c>
      <c r="U445">
        <v>0</v>
      </c>
      <c r="V445">
        <v>0</v>
      </c>
      <c r="W445">
        <v>0</v>
      </c>
      <c r="X445">
        <v>0</v>
      </c>
      <c r="Y445" s="2">
        <v>-9859</v>
      </c>
      <c r="Z445" s="2">
        <v>9860</v>
      </c>
      <c r="AA445">
        <v>0</v>
      </c>
    </row>
    <row r="446" spans="1:27" x14ac:dyDescent="0.35">
      <c r="A446">
        <v>3249</v>
      </c>
      <c r="B446">
        <v>0</v>
      </c>
      <c r="C446" s="1">
        <v>41851</v>
      </c>
      <c r="D446">
        <v>1</v>
      </c>
      <c r="E446" t="s">
        <v>334</v>
      </c>
      <c r="F446" t="s">
        <v>429</v>
      </c>
      <c r="G446" s="1">
        <v>41821</v>
      </c>
      <c r="H446" s="2">
        <v>8190</v>
      </c>
      <c r="I446" s="2">
        <f t="shared" si="6"/>
        <v>-8189</v>
      </c>
      <c r="J446">
        <v>1</v>
      </c>
      <c r="K446" t="s">
        <v>23</v>
      </c>
      <c r="L446">
        <v>10700040</v>
      </c>
      <c r="M446" t="s">
        <v>65</v>
      </c>
      <c r="N446">
        <v>23500</v>
      </c>
      <c r="O446" t="s">
        <v>51</v>
      </c>
      <c r="P446" t="s">
        <v>26</v>
      </c>
      <c r="Q446" t="s">
        <v>88</v>
      </c>
      <c r="R446">
        <v>164500</v>
      </c>
      <c r="S446" t="s">
        <v>63</v>
      </c>
      <c r="T446">
        <v>1</v>
      </c>
      <c r="U446">
        <v>0</v>
      </c>
      <c r="V446">
        <v>0</v>
      </c>
      <c r="W446">
        <v>0</v>
      </c>
      <c r="X446">
        <v>0</v>
      </c>
      <c r="Y446" s="2">
        <v>-8499</v>
      </c>
      <c r="Z446" s="2">
        <v>8500</v>
      </c>
      <c r="AA446">
        <v>0</v>
      </c>
    </row>
    <row r="447" spans="1:27" x14ac:dyDescent="0.35">
      <c r="A447">
        <v>3391</v>
      </c>
      <c r="B447">
        <v>0</v>
      </c>
      <c r="C447" s="1">
        <v>42155</v>
      </c>
      <c r="D447">
        <v>1</v>
      </c>
      <c r="E447" t="s">
        <v>334</v>
      </c>
      <c r="F447" t="s">
        <v>453</v>
      </c>
      <c r="G447" s="1">
        <v>42156</v>
      </c>
      <c r="H447" s="2">
        <v>12575</v>
      </c>
      <c r="I447" s="2">
        <f t="shared" si="6"/>
        <v>-12574</v>
      </c>
      <c r="J447">
        <v>1</v>
      </c>
      <c r="K447" t="s">
        <v>23</v>
      </c>
      <c r="L447">
        <v>10700040</v>
      </c>
      <c r="M447" t="s">
        <v>65</v>
      </c>
      <c r="N447">
        <v>21099</v>
      </c>
      <c r="O447" t="s">
        <v>388</v>
      </c>
      <c r="P447" t="s">
        <v>26</v>
      </c>
      <c r="Q447" t="s">
        <v>26</v>
      </c>
      <c r="R447">
        <v>164500</v>
      </c>
      <c r="S447" t="s">
        <v>63</v>
      </c>
      <c r="T447">
        <v>1</v>
      </c>
      <c r="U447">
        <v>0</v>
      </c>
      <c r="V447">
        <v>0</v>
      </c>
      <c r="W447">
        <v>0</v>
      </c>
      <c r="X447">
        <v>0</v>
      </c>
      <c r="Y447" s="2">
        <v>-28319</v>
      </c>
      <c r="Z447" s="2">
        <v>28320</v>
      </c>
      <c r="AA447">
        <v>0</v>
      </c>
    </row>
    <row r="448" spans="1:27" x14ac:dyDescent="0.35">
      <c r="A448">
        <v>3404</v>
      </c>
      <c r="B448">
        <v>0</v>
      </c>
      <c r="C448" s="1">
        <v>42185</v>
      </c>
      <c r="D448">
        <v>1</v>
      </c>
      <c r="E448" t="s">
        <v>334</v>
      </c>
      <c r="F448" t="s">
        <v>453</v>
      </c>
      <c r="G448" s="1">
        <v>42156</v>
      </c>
      <c r="H448" s="2">
        <v>13287.5</v>
      </c>
      <c r="I448" s="2">
        <f t="shared" si="6"/>
        <v>-13286.5</v>
      </c>
      <c r="J448">
        <v>1</v>
      </c>
      <c r="K448" t="s">
        <v>23</v>
      </c>
      <c r="L448">
        <v>10700040</v>
      </c>
      <c r="M448" t="s">
        <v>65</v>
      </c>
      <c r="N448">
        <v>23500</v>
      </c>
      <c r="O448" t="s">
        <v>51</v>
      </c>
      <c r="P448" t="s">
        <v>26</v>
      </c>
      <c r="Q448" t="s">
        <v>26</v>
      </c>
      <c r="R448">
        <v>164500</v>
      </c>
      <c r="S448" t="s">
        <v>63</v>
      </c>
      <c r="T448">
        <v>1</v>
      </c>
      <c r="U448">
        <v>0</v>
      </c>
      <c r="V448">
        <v>0</v>
      </c>
      <c r="W448">
        <v>0</v>
      </c>
      <c r="X448">
        <v>0</v>
      </c>
      <c r="Y448" s="2">
        <v>-10874</v>
      </c>
      <c r="Z448" s="2">
        <v>10875</v>
      </c>
      <c r="AA448">
        <v>0</v>
      </c>
    </row>
    <row r="449" spans="1:27" x14ac:dyDescent="0.35">
      <c r="A449">
        <v>3411</v>
      </c>
      <c r="B449">
        <v>0</v>
      </c>
      <c r="C449" s="1">
        <v>42185</v>
      </c>
      <c r="D449">
        <v>1</v>
      </c>
      <c r="E449" t="s">
        <v>334</v>
      </c>
      <c r="F449" t="s">
        <v>457</v>
      </c>
      <c r="G449" s="1">
        <v>42186</v>
      </c>
      <c r="H449" s="2">
        <v>12069</v>
      </c>
      <c r="I449" s="2">
        <f t="shared" si="6"/>
        <v>-12068</v>
      </c>
      <c r="J449">
        <v>1</v>
      </c>
      <c r="K449" t="s">
        <v>23</v>
      </c>
      <c r="L449">
        <v>10700040</v>
      </c>
      <c r="M449" t="s">
        <v>65</v>
      </c>
      <c r="N449">
        <v>22100</v>
      </c>
      <c r="O449" t="s">
        <v>44</v>
      </c>
      <c r="P449" t="s">
        <v>26</v>
      </c>
      <c r="Q449" t="s">
        <v>38</v>
      </c>
      <c r="R449">
        <v>164500</v>
      </c>
      <c r="S449" t="s">
        <v>63</v>
      </c>
      <c r="T449">
        <v>1</v>
      </c>
      <c r="U449">
        <v>0</v>
      </c>
      <c r="V449">
        <v>0</v>
      </c>
      <c r="W449">
        <v>0</v>
      </c>
      <c r="X449">
        <v>0</v>
      </c>
      <c r="Y449" s="2">
        <v>-8435</v>
      </c>
      <c r="Z449" s="2">
        <v>8436</v>
      </c>
      <c r="AA449">
        <v>0</v>
      </c>
    </row>
    <row r="450" spans="1:27" x14ac:dyDescent="0.35">
      <c r="A450">
        <v>3456</v>
      </c>
      <c r="B450">
        <v>0</v>
      </c>
      <c r="C450" s="1">
        <v>42247</v>
      </c>
      <c r="D450">
        <v>1</v>
      </c>
      <c r="E450" t="s">
        <v>334</v>
      </c>
      <c r="F450" t="s">
        <v>462</v>
      </c>
      <c r="G450" s="1">
        <v>42248</v>
      </c>
      <c r="H450" s="2">
        <v>7200</v>
      </c>
      <c r="I450" s="2">
        <f t="shared" ref="I450:I513" si="7">J450-H450</f>
        <v>-7199</v>
      </c>
      <c r="J450">
        <v>1</v>
      </c>
      <c r="K450" t="s">
        <v>23</v>
      </c>
      <c r="L450">
        <v>10700040</v>
      </c>
      <c r="M450" t="s">
        <v>65</v>
      </c>
      <c r="N450">
        <v>23500</v>
      </c>
      <c r="O450" t="s">
        <v>51</v>
      </c>
      <c r="P450" t="s">
        <v>26</v>
      </c>
      <c r="Q450" t="s">
        <v>26</v>
      </c>
      <c r="R450">
        <v>164500</v>
      </c>
      <c r="S450" t="s">
        <v>63</v>
      </c>
      <c r="T450">
        <v>1</v>
      </c>
      <c r="U450">
        <v>0</v>
      </c>
      <c r="V450">
        <v>0</v>
      </c>
      <c r="W450">
        <v>0</v>
      </c>
      <c r="X450">
        <v>0</v>
      </c>
      <c r="Y450" s="2">
        <v>-1922665.73</v>
      </c>
      <c r="Z450" s="2">
        <v>2060000</v>
      </c>
      <c r="AA450">
        <v>0</v>
      </c>
    </row>
    <row r="451" spans="1:27" x14ac:dyDescent="0.35">
      <c r="A451">
        <v>3446</v>
      </c>
      <c r="B451">
        <v>0</v>
      </c>
      <c r="C451" s="1">
        <v>42247</v>
      </c>
      <c r="D451">
        <v>1</v>
      </c>
      <c r="E451" t="s">
        <v>334</v>
      </c>
      <c r="F451" t="s">
        <v>458</v>
      </c>
      <c r="G451" s="1">
        <v>42217</v>
      </c>
      <c r="H451" s="2">
        <v>9199</v>
      </c>
      <c r="I451" s="2">
        <f t="shared" si="7"/>
        <v>-9198</v>
      </c>
      <c r="J451">
        <v>1</v>
      </c>
      <c r="K451" t="s">
        <v>23</v>
      </c>
      <c r="L451">
        <v>10700040</v>
      </c>
      <c r="M451" t="s">
        <v>65</v>
      </c>
      <c r="N451">
        <v>21099</v>
      </c>
      <c r="O451" t="s">
        <v>388</v>
      </c>
      <c r="P451" t="s">
        <v>26</v>
      </c>
      <c r="Q451" t="s">
        <v>28</v>
      </c>
      <c r="R451">
        <v>164500</v>
      </c>
      <c r="S451" t="s">
        <v>63</v>
      </c>
      <c r="T451">
        <v>1</v>
      </c>
      <c r="U451">
        <v>0</v>
      </c>
      <c r="V451">
        <v>0</v>
      </c>
      <c r="W451">
        <v>0</v>
      </c>
      <c r="X451">
        <v>0</v>
      </c>
      <c r="Y451" s="2">
        <v>-99865.73</v>
      </c>
      <c r="Z451" s="2">
        <v>107000</v>
      </c>
      <c r="AA451">
        <v>0</v>
      </c>
    </row>
    <row r="452" spans="1:27" x14ac:dyDescent="0.35">
      <c r="A452">
        <v>3621</v>
      </c>
      <c r="B452">
        <v>0</v>
      </c>
      <c r="C452" s="1">
        <v>42735</v>
      </c>
      <c r="D452">
        <v>2</v>
      </c>
      <c r="E452" t="s">
        <v>334</v>
      </c>
      <c r="F452" t="s">
        <v>472</v>
      </c>
      <c r="G452" s="1">
        <v>42583</v>
      </c>
      <c r="H452" s="2">
        <v>302024.57</v>
      </c>
      <c r="I452" s="2">
        <f t="shared" si="7"/>
        <v>-302023.57</v>
      </c>
      <c r="J452">
        <v>1</v>
      </c>
      <c r="K452" t="s">
        <v>23</v>
      </c>
      <c r="L452">
        <v>10700040</v>
      </c>
      <c r="M452" t="s">
        <v>65</v>
      </c>
      <c r="N452">
        <v>22000</v>
      </c>
      <c r="O452" t="s">
        <v>53</v>
      </c>
      <c r="P452" t="s">
        <v>26</v>
      </c>
      <c r="Q452" t="s">
        <v>54</v>
      </c>
      <c r="R452">
        <v>164500</v>
      </c>
      <c r="S452" t="s">
        <v>63</v>
      </c>
      <c r="T452">
        <v>1</v>
      </c>
      <c r="U452">
        <v>0</v>
      </c>
      <c r="V452">
        <v>0</v>
      </c>
      <c r="W452">
        <v>0</v>
      </c>
      <c r="X452">
        <v>0</v>
      </c>
      <c r="Y452" s="2">
        <v>-302023.57</v>
      </c>
      <c r="Z452" s="2">
        <v>302024.57</v>
      </c>
      <c r="AA452">
        <v>0</v>
      </c>
    </row>
    <row r="453" spans="1:27" x14ac:dyDescent="0.35">
      <c r="A453">
        <v>3622</v>
      </c>
      <c r="B453">
        <v>0</v>
      </c>
      <c r="C453" s="1">
        <v>42735</v>
      </c>
      <c r="D453">
        <v>2</v>
      </c>
      <c r="E453" t="s">
        <v>334</v>
      </c>
      <c r="F453" t="s">
        <v>473</v>
      </c>
      <c r="G453" s="1">
        <v>42583</v>
      </c>
      <c r="H453" s="2">
        <v>312835</v>
      </c>
      <c r="I453" s="2">
        <f t="shared" si="7"/>
        <v>-312834</v>
      </c>
      <c r="J453">
        <v>1</v>
      </c>
      <c r="K453" t="s">
        <v>23</v>
      </c>
      <c r="L453">
        <v>10700040</v>
      </c>
      <c r="M453" t="s">
        <v>65</v>
      </c>
      <c r="N453">
        <v>22000</v>
      </c>
      <c r="O453" t="s">
        <v>53</v>
      </c>
      <c r="P453" t="s">
        <v>26</v>
      </c>
      <c r="Q453" t="s">
        <v>54</v>
      </c>
      <c r="R453">
        <v>164500</v>
      </c>
      <c r="S453" t="s">
        <v>63</v>
      </c>
      <c r="T453">
        <v>1</v>
      </c>
      <c r="U453">
        <v>0</v>
      </c>
      <c r="V453">
        <v>0</v>
      </c>
      <c r="W453">
        <v>0</v>
      </c>
      <c r="X453">
        <v>0</v>
      </c>
      <c r="Y453" s="2">
        <v>-312834</v>
      </c>
      <c r="Z453" s="2">
        <v>312835</v>
      </c>
      <c r="AA453">
        <v>0</v>
      </c>
    </row>
    <row r="454" spans="1:27" x14ac:dyDescent="0.35">
      <c r="A454">
        <v>3625</v>
      </c>
      <c r="B454">
        <v>0</v>
      </c>
      <c r="C454" s="1">
        <v>42735</v>
      </c>
      <c r="D454">
        <v>1</v>
      </c>
      <c r="E454" t="s">
        <v>334</v>
      </c>
      <c r="F454" t="s">
        <v>474</v>
      </c>
      <c r="G454" s="1">
        <v>42583</v>
      </c>
      <c r="H454" s="2">
        <v>195000</v>
      </c>
      <c r="I454" s="2">
        <f t="shared" si="7"/>
        <v>-194999</v>
      </c>
      <c r="J454">
        <v>1</v>
      </c>
      <c r="K454" t="s">
        <v>23</v>
      </c>
      <c r="L454">
        <v>10700040</v>
      </c>
      <c r="M454" t="s">
        <v>65</v>
      </c>
      <c r="N454">
        <v>22000</v>
      </c>
      <c r="O454" t="s">
        <v>53</v>
      </c>
      <c r="P454" t="s">
        <v>26</v>
      </c>
      <c r="Q454" t="s">
        <v>54</v>
      </c>
      <c r="R454">
        <v>164500</v>
      </c>
      <c r="S454" t="s">
        <v>63</v>
      </c>
      <c r="T454">
        <v>1</v>
      </c>
      <c r="U454">
        <v>0</v>
      </c>
      <c r="V454">
        <v>0</v>
      </c>
      <c r="W454">
        <v>0</v>
      </c>
      <c r="X454">
        <v>0</v>
      </c>
      <c r="Y454" s="2">
        <v>-194999</v>
      </c>
      <c r="Z454" s="2">
        <v>195000</v>
      </c>
      <c r="AA454">
        <v>0</v>
      </c>
    </row>
    <row r="455" spans="1:27" x14ac:dyDescent="0.35">
      <c r="A455">
        <v>3626</v>
      </c>
      <c r="B455">
        <v>0</v>
      </c>
      <c r="C455" s="1">
        <v>42735</v>
      </c>
      <c r="D455">
        <v>1</v>
      </c>
      <c r="E455" t="s">
        <v>334</v>
      </c>
      <c r="F455" t="s">
        <v>474</v>
      </c>
      <c r="G455" s="1">
        <v>42583</v>
      </c>
      <c r="H455" s="2">
        <v>195000</v>
      </c>
      <c r="I455" s="2">
        <f t="shared" si="7"/>
        <v>-194999</v>
      </c>
      <c r="J455">
        <v>1</v>
      </c>
      <c r="K455" t="s">
        <v>23</v>
      </c>
      <c r="L455">
        <v>10700040</v>
      </c>
      <c r="M455" t="s">
        <v>65</v>
      </c>
      <c r="N455">
        <v>22000</v>
      </c>
      <c r="O455" t="s">
        <v>53</v>
      </c>
      <c r="P455" t="s">
        <v>26</v>
      </c>
      <c r="Q455" t="s">
        <v>54</v>
      </c>
      <c r="R455">
        <v>164500</v>
      </c>
      <c r="S455" t="s">
        <v>63</v>
      </c>
      <c r="T455">
        <v>1</v>
      </c>
      <c r="U455">
        <v>0</v>
      </c>
      <c r="V455">
        <v>0</v>
      </c>
      <c r="W455">
        <v>0</v>
      </c>
      <c r="X455">
        <v>0</v>
      </c>
      <c r="Y455" s="2">
        <v>-194999</v>
      </c>
      <c r="Z455" s="2">
        <v>195000</v>
      </c>
      <c r="AA455">
        <v>0</v>
      </c>
    </row>
    <row r="456" spans="1:27" x14ac:dyDescent="0.35">
      <c r="A456">
        <v>3796</v>
      </c>
      <c r="B456">
        <v>0</v>
      </c>
      <c r="C456" s="1">
        <v>43404</v>
      </c>
      <c r="D456">
        <v>1</v>
      </c>
      <c r="E456" t="s">
        <v>20</v>
      </c>
      <c r="F456" t="s">
        <v>482</v>
      </c>
      <c r="G456" s="1">
        <v>43374</v>
      </c>
      <c r="H456" s="2">
        <v>87318</v>
      </c>
      <c r="I456" s="2">
        <f t="shared" si="7"/>
        <v>-87317</v>
      </c>
      <c r="J456">
        <v>1</v>
      </c>
      <c r="K456" t="s">
        <v>23</v>
      </c>
      <c r="L456">
        <v>10700040</v>
      </c>
      <c r="M456" t="s">
        <v>65</v>
      </c>
      <c r="N456">
        <v>23000</v>
      </c>
      <c r="O456" t="s">
        <v>90</v>
      </c>
      <c r="P456" t="s">
        <v>26</v>
      </c>
      <c r="Q456" t="s">
        <v>88</v>
      </c>
      <c r="R456">
        <v>164500</v>
      </c>
      <c r="S456" t="s">
        <v>63</v>
      </c>
      <c r="T456">
        <v>1</v>
      </c>
      <c r="U456">
        <v>0</v>
      </c>
      <c r="V456">
        <v>0</v>
      </c>
      <c r="W456">
        <v>0</v>
      </c>
      <c r="X456">
        <v>0</v>
      </c>
      <c r="Y456" s="2">
        <v>-109182.2</v>
      </c>
      <c r="Z456" s="2">
        <v>109183.2</v>
      </c>
      <c r="AA456">
        <v>0</v>
      </c>
    </row>
    <row r="457" spans="1:27" x14ac:dyDescent="0.35">
      <c r="A457">
        <v>4147</v>
      </c>
      <c r="B457">
        <v>0</v>
      </c>
      <c r="C457" s="1">
        <v>44804</v>
      </c>
      <c r="D457">
        <v>1</v>
      </c>
      <c r="E457" t="s">
        <v>20</v>
      </c>
      <c r="F457" t="s">
        <v>498</v>
      </c>
      <c r="G457" s="1">
        <v>44805</v>
      </c>
      <c r="H457" s="2">
        <v>850000</v>
      </c>
      <c r="I457" s="2">
        <f t="shared" si="7"/>
        <v>-396667</v>
      </c>
      <c r="J457" s="2">
        <v>453333</v>
      </c>
      <c r="K457" t="s">
        <v>23</v>
      </c>
      <c r="L457">
        <v>10700040</v>
      </c>
      <c r="M457" t="s">
        <v>65</v>
      </c>
      <c r="N457">
        <v>21099</v>
      </c>
      <c r="O457" t="s">
        <v>388</v>
      </c>
      <c r="P457" t="s">
        <v>26</v>
      </c>
      <c r="Q457" t="s">
        <v>28</v>
      </c>
      <c r="R457">
        <v>164500</v>
      </c>
      <c r="S457" t="s">
        <v>63</v>
      </c>
      <c r="T457">
        <v>1</v>
      </c>
      <c r="U457">
        <v>0</v>
      </c>
      <c r="V457">
        <v>0</v>
      </c>
      <c r="W457">
        <v>0</v>
      </c>
      <c r="X457">
        <v>0</v>
      </c>
      <c r="Y457" s="2">
        <v>-109182.2</v>
      </c>
      <c r="Z457" s="2">
        <v>109183.2</v>
      </c>
      <c r="AA457">
        <v>0</v>
      </c>
    </row>
    <row r="458" spans="1:27" x14ac:dyDescent="0.35">
      <c r="A458">
        <v>4179</v>
      </c>
      <c r="B458">
        <v>0</v>
      </c>
      <c r="C458" s="1">
        <v>44926</v>
      </c>
      <c r="D458">
        <v>1</v>
      </c>
      <c r="E458" t="s">
        <v>20</v>
      </c>
      <c r="F458" t="s">
        <v>502</v>
      </c>
      <c r="G458" s="1">
        <v>44866</v>
      </c>
      <c r="H458" s="2">
        <v>157000</v>
      </c>
      <c r="I458" s="2">
        <f t="shared" si="7"/>
        <v>-68034</v>
      </c>
      <c r="J458" s="2">
        <v>88966</v>
      </c>
      <c r="K458" t="s">
        <v>23</v>
      </c>
      <c r="L458">
        <v>10700040</v>
      </c>
      <c r="M458" t="s">
        <v>65</v>
      </c>
      <c r="N458">
        <v>22200</v>
      </c>
      <c r="O458" t="s">
        <v>34</v>
      </c>
      <c r="P458" t="s">
        <v>26</v>
      </c>
      <c r="Q458" t="s">
        <v>35</v>
      </c>
      <c r="R458">
        <v>164500</v>
      </c>
      <c r="S458" t="s">
        <v>63</v>
      </c>
      <c r="T458">
        <v>1</v>
      </c>
      <c r="U458">
        <v>0</v>
      </c>
      <c r="V458">
        <v>0</v>
      </c>
      <c r="W458">
        <v>0</v>
      </c>
      <c r="X458">
        <v>0</v>
      </c>
      <c r="Y458" s="2">
        <v>-109182.2</v>
      </c>
      <c r="Z458" s="2">
        <v>109183.2</v>
      </c>
      <c r="AA458">
        <v>0</v>
      </c>
    </row>
    <row r="459" spans="1:27" x14ac:dyDescent="0.35">
      <c r="A459">
        <v>4175</v>
      </c>
      <c r="B459">
        <v>0</v>
      </c>
      <c r="C459" s="1">
        <v>44926</v>
      </c>
      <c r="D459">
        <v>1</v>
      </c>
      <c r="E459" t="s">
        <v>20</v>
      </c>
      <c r="F459" t="s">
        <v>501</v>
      </c>
      <c r="G459" s="1">
        <v>44896</v>
      </c>
      <c r="H459" s="2">
        <v>1055074</v>
      </c>
      <c r="I459" s="2">
        <f t="shared" si="7"/>
        <v>-439615</v>
      </c>
      <c r="J459" s="2">
        <v>615459</v>
      </c>
      <c r="K459" t="s">
        <v>23</v>
      </c>
      <c r="L459">
        <v>10700040</v>
      </c>
      <c r="M459" t="s">
        <v>65</v>
      </c>
      <c r="N459">
        <v>21099</v>
      </c>
      <c r="O459" t="s">
        <v>388</v>
      </c>
      <c r="P459" t="s">
        <v>26</v>
      </c>
      <c r="Q459" t="s">
        <v>28</v>
      </c>
      <c r="R459">
        <v>164500</v>
      </c>
      <c r="S459" t="s">
        <v>63</v>
      </c>
      <c r="T459">
        <v>1</v>
      </c>
      <c r="U459">
        <v>0</v>
      </c>
      <c r="V459">
        <v>0</v>
      </c>
      <c r="W459">
        <v>0</v>
      </c>
      <c r="X459">
        <v>0</v>
      </c>
      <c r="Y459" s="2">
        <v>-109182.2</v>
      </c>
      <c r="Z459" s="2">
        <v>109183.2</v>
      </c>
      <c r="AA459">
        <v>0</v>
      </c>
    </row>
    <row r="460" spans="1:27" x14ac:dyDescent="0.35">
      <c r="A460">
        <v>4289</v>
      </c>
      <c r="B460">
        <v>0</v>
      </c>
      <c r="C460" s="1">
        <v>45291</v>
      </c>
      <c r="D460">
        <v>1</v>
      </c>
      <c r="E460" t="s">
        <v>20</v>
      </c>
      <c r="F460" t="s">
        <v>506</v>
      </c>
      <c r="G460" s="1">
        <v>45200</v>
      </c>
      <c r="H460" s="2">
        <v>160000</v>
      </c>
      <c r="I460" s="2">
        <f t="shared" si="7"/>
        <v>-40000</v>
      </c>
      <c r="J460" s="2">
        <v>120000</v>
      </c>
      <c r="K460" t="s">
        <v>23</v>
      </c>
      <c r="L460">
        <v>10700040</v>
      </c>
      <c r="M460" t="s">
        <v>65</v>
      </c>
      <c r="N460">
        <v>22200</v>
      </c>
      <c r="O460" t="s">
        <v>34</v>
      </c>
      <c r="P460" t="s">
        <v>26</v>
      </c>
      <c r="Q460" t="s">
        <v>35</v>
      </c>
      <c r="R460">
        <v>164500</v>
      </c>
      <c r="S460" t="s">
        <v>63</v>
      </c>
      <c r="T460">
        <v>1</v>
      </c>
      <c r="U460">
        <v>0</v>
      </c>
      <c r="V460">
        <v>0</v>
      </c>
      <c r="W460">
        <v>0</v>
      </c>
      <c r="X460">
        <v>0</v>
      </c>
      <c r="Y460" s="2">
        <v>-116864.07</v>
      </c>
      <c r="Z460" s="2">
        <v>116865.07</v>
      </c>
      <c r="AA460">
        <v>0</v>
      </c>
    </row>
    <row r="461" spans="1:27" x14ac:dyDescent="0.35">
      <c r="A461">
        <v>4338</v>
      </c>
      <c r="B461">
        <v>0</v>
      </c>
      <c r="C461" s="1">
        <v>45412</v>
      </c>
      <c r="D461">
        <v>1</v>
      </c>
      <c r="E461" t="s">
        <v>389</v>
      </c>
      <c r="F461" t="s">
        <v>510</v>
      </c>
      <c r="G461" s="1">
        <v>45413</v>
      </c>
      <c r="H461" s="2">
        <v>82133.929999999993</v>
      </c>
      <c r="I461" s="2">
        <f t="shared" si="7"/>
        <v>-10951.929999999993</v>
      </c>
      <c r="J461" s="2">
        <v>71182</v>
      </c>
      <c r="K461" t="s">
        <v>23</v>
      </c>
      <c r="L461">
        <v>10700040</v>
      </c>
      <c r="M461" t="s">
        <v>65</v>
      </c>
      <c r="N461">
        <v>21099</v>
      </c>
      <c r="O461" t="s">
        <v>388</v>
      </c>
      <c r="P461" t="s">
        <v>26</v>
      </c>
      <c r="Q461" t="s">
        <v>26</v>
      </c>
      <c r="R461">
        <v>164500</v>
      </c>
      <c r="S461" t="s">
        <v>63</v>
      </c>
      <c r="T461">
        <v>1</v>
      </c>
      <c r="U461">
        <v>0</v>
      </c>
      <c r="V461">
        <v>0</v>
      </c>
      <c r="W461">
        <v>0</v>
      </c>
      <c r="X461">
        <v>0</v>
      </c>
      <c r="Y461" s="2">
        <v>-349999</v>
      </c>
      <c r="Z461" s="2">
        <v>350000</v>
      </c>
      <c r="AA461">
        <v>0</v>
      </c>
    </row>
    <row r="462" spans="1:27" x14ac:dyDescent="0.35">
      <c r="A462">
        <v>4370</v>
      </c>
      <c r="B462">
        <v>0</v>
      </c>
      <c r="C462" s="1">
        <v>45535</v>
      </c>
      <c r="D462">
        <v>1</v>
      </c>
      <c r="E462" t="s">
        <v>20</v>
      </c>
      <c r="F462" t="s">
        <v>512</v>
      </c>
      <c r="G462" s="1">
        <v>45505</v>
      </c>
      <c r="H462" s="2">
        <v>96030</v>
      </c>
      <c r="I462" s="2">
        <f t="shared" si="7"/>
        <v>-8003</v>
      </c>
      <c r="J462" s="2">
        <v>88027</v>
      </c>
      <c r="K462" t="s">
        <v>23</v>
      </c>
      <c r="L462">
        <v>10700040</v>
      </c>
      <c r="M462" t="s">
        <v>65</v>
      </c>
      <c r="N462">
        <v>22101</v>
      </c>
      <c r="O462" t="s">
        <v>57</v>
      </c>
      <c r="P462" t="s">
        <v>26</v>
      </c>
      <c r="Q462" t="s">
        <v>38</v>
      </c>
      <c r="R462">
        <v>164500</v>
      </c>
      <c r="S462" t="s">
        <v>63</v>
      </c>
      <c r="T462">
        <v>1</v>
      </c>
      <c r="U462">
        <v>0</v>
      </c>
      <c r="V462">
        <v>0</v>
      </c>
      <c r="W462">
        <v>0</v>
      </c>
      <c r="X462">
        <v>0</v>
      </c>
      <c r="Y462" s="2">
        <v>-481156</v>
      </c>
      <c r="Z462" s="2">
        <v>481157</v>
      </c>
      <c r="AA462">
        <v>0</v>
      </c>
    </row>
    <row r="463" spans="1:27" x14ac:dyDescent="0.35">
      <c r="A463">
        <v>4371</v>
      </c>
      <c r="B463">
        <v>0</v>
      </c>
      <c r="C463" s="1">
        <v>45535</v>
      </c>
      <c r="D463">
        <v>1</v>
      </c>
      <c r="E463" t="s">
        <v>20</v>
      </c>
      <c r="F463" t="s">
        <v>512</v>
      </c>
      <c r="G463" s="1">
        <v>45505</v>
      </c>
      <c r="H463" s="2">
        <v>96030</v>
      </c>
      <c r="I463" s="2">
        <f t="shared" si="7"/>
        <v>-8003</v>
      </c>
      <c r="J463" s="2">
        <v>88027</v>
      </c>
      <c r="K463" t="s">
        <v>23</v>
      </c>
      <c r="L463">
        <v>10700040</v>
      </c>
      <c r="M463" t="s">
        <v>65</v>
      </c>
      <c r="N463">
        <v>22102</v>
      </c>
      <c r="O463" t="s">
        <v>37</v>
      </c>
      <c r="P463" t="s">
        <v>26</v>
      </c>
      <c r="Q463" t="s">
        <v>38</v>
      </c>
      <c r="R463">
        <v>164500</v>
      </c>
      <c r="S463" t="s">
        <v>63</v>
      </c>
      <c r="T463">
        <v>1</v>
      </c>
      <c r="U463">
        <v>0</v>
      </c>
      <c r="V463">
        <v>0</v>
      </c>
      <c r="W463">
        <v>0</v>
      </c>
      <c r="X463">
        <v>0</v>
      </c>
      <c r="Y463" s="2">
        <v>-149999</v>
      </c>
      <c r="Z463" s="2">
        <v>150000</v>
      </c>
      <c r="AA463">
        <v>0</v>
      </c>
    </row>
    <row r="464" spans="1:27" x14ac:dyDescent="0.35">
      <c r="A464">
        <v>3042</v>
      </c>
      <c r="B464">
        <v>0</v>
      </c>
      <c r="C464" s="1">
        <v>41394</v>
      </c>
      <c r="D464">
        <v>1</v>
      </c>
      <c r="E464" t="s">
        <v>334</v>
      </c>
      <c r="F464" t="s">
        <v>404</v>
      </c>
      <c r="G464" s="1">
        <v>41395</v>
      </c>
      <c r="H464" s="2">
        <v>14580</v>
      </c>
      <c r="I464" s="2">
        <f t="shared" si="7"/>
        <v>-14579</v>
      </c>
      <c r="J464">
        <v>1</v>
      </c>
      <c r="K464" t="s">
        <v>23</v>
      </c>
      <c r="L464">
        <v>10700040</v>
      </c>
      <c r="M464" t="s">
        <v>65</v>
      </c>
      <c r="N464">
        <v>35000</v>
      </c>
      <c r="O464" t="s">
        <v>405</v>
      </c>
      <c r="P464" t="s">
        <v>522</v>
      </c>
      <c r="Q464" t="s">
        <v>56</v>
      </c>
      <c r="R464">
        <v>164500</v>
      </c>
      <c r="S464" t="s">
        <v>63</v>
      </c>
      <c r="T464">
        <v>1</v>
      </c>
      <c r="U464">
        <v>0</v>
      </c>
      <c r="V464">
        <v>0</v>
      </c>
      <c r="W464">
        <v>0</v>
      </c>
      <c r="X464">
        <v>0</v>
      </c>
      <c r="Y464" s="2">
        <v>-103999</v>
      </c>
      <c r="Z464" s="2">
        <v>104000</v>
      </c>
      <c r="AA464">
        <v>0</v>
      </c>
    </row>
    <row r="465" spans="1:27" x14ac:dyDescent="0.35">
      <c r="A465">
        <v>3875</v>
      </c>
      <c r="B465">
        <v>0</v>
      </c>
      <c r="C465" s="1">
        <v>43646</v>
      </c>
      <c r="D465">
        <v>1</v>
      </c>
      <c r="E465" t="s">
        <v>389</v>
      </c>
      <c r="F465" t="s">
        <v>487</v>
      </c>
      <c r="G465" s="1">
        <v>43497</v>
      </c>
      <c r="H465" s="2">
        <v>557207.06999999995</v>
      </c>
      <c r="I465" s="2">
        <f t="shared" si="7"/>
        <v>-557206.06999999995</v>
      </c>
      <c r="J465">
        <v>1</v>
      </c>
      <c r="K465" t="s">
        <v>23</v>
      </c>
      <c r="L465">
        <v>10700040</v>
      </c>
      <c r="M465" t="s">
        <v>65</v>
      </c>
      <c r="N465">
        <v>35000</v>
      </c>
      <c r="O465" t="s">
        <v>405</v>
      </c>
      <c r="P465" t="s">
        <v>522</v>
      </c>
      <c r="Q465" t="s">
        <v>56</v>
      </c>
      <c r="R465">
        <v>164500</v>
      </c>
      <c r="S465" t="s">
        <v>63</v>
      </c>
      <c r="T465">
        <v>1</v>
      </c>
      <c r="U465">
        <v>0</v>
      </c>
      <c r="V465">
        <v>0</v>
      </c>
      <c r="W465">
        <v>0</v>
      </c>
      <c r="X465">
        <v>0</v>
      </c>
      <c r="Y465" s="2">
        <v>-478977.43</v>
      </c>
      <c r="Z465" s="2">
        <v>478978.43</v>
      </c>
      <c r="AA465">
        <v>0</v>
      </c>
    </row>
    <row r="466" spans="1:27" x14ac:dyDescent="0.35">
      <c r="A466">
        <v>4120</v>
      </c>
      <c r="B466">
        <v>0</v>
      </c>
      <c r="C466" s="1">
        <v>44592</v>
      </c>
      <c r="D466">
        <v>1</v>
      </c>
      <c r="E466" t="s">
        <v>334</v>
      </c>
      <c r="F466" t="s">
        <v>495</v>
      </c>
      <c r="G466" s="1">
        <v>44562</v>
      </c>
      <c r="H466" s="2">
        <v>89873.33</v>
      </c>
      <c r="I466" s="2">
        <f t="shared" si="7"/>
        <v>-53925.33</v>
      </c>
      <c r="J466" s="2">
        <v>35948</v>
      </c>
      <c r="K466" t="s">
        <v>23</v>
      </c>
      <c r="L466">
        <v>10700040</v>
      </c>
      <c r="M466" t="s">
        <v>65</v>
      </c>
      <c r="N466">
        <v>33200</v>
      </c>
      <c r="O466" t="s">
        <v>496</v>
      </c>
      <c r="P466" t="s">
        <v>522</v>
      </c>
      <c r="Q466" t="s">
        <v>56</v>
      </c>
      <c r="R466">
        <v>164500</v>
      </c>
      <c r="S466" t="s">
        <v>63</v>
      </c>
      <c r="T466">
        <v>1</v>
      </c>
      <c r="U466">
        <v>0</v>
      </c>
      <c r="V466">
        <v>0</v>
      </c>
      <c r="W466">
        <v>0</v>
      </c>
      <c r="X466">
        <v>0</v>
      </c>
      <c r="Y466" s="2">
        <v>-87317</v>
      </c>
      <c r="Z466" s="2">
        <v>87318</v>
      </c>
      <c r="AA466">
        <v>0</v>
      </c>
    </row>
    <row r="467" spans="1:27" x14ac:dyDescent="0.35">
      <c r="A467">
        <v>2922</v>
      </c>
      <c r="B467">
        <v>0</v>
      </c>
      <c r="C467" s="1">
        <v>41090</v>
      </c>
      <c r="D467">
        <v>1</v>
      </c>
      <c r="E467" t="s">
        <v>20</v>
      </c>
      <c r="F467" t="s">
        <v>393</v>
      </c>
      <c r="G467" s="1">
        <v>41091</v>
      </c>
      <c r="H467" s="2">
        <v>92150</v>
      </c>
      <c r="I467" s="2">
        <f t="shared" si="7"/>
        <v>-92149</v>
      </c>
      <c r="J467">
        <v>1</v>
      </c>
      <c r="K467" t="s">
        <v>23</v>
      </c>
      <c r="L467">
        <v>10700040</v>
      </c>
      <c r="M467" t="s">
        <v>65</v>
      </c>
      <c r="N467">
        <v>23600</v>
      </c>
      <c r="O467" t="s">
        <v>21</v>
      </c>
      <c r="P467" t="s">
        <v>49</v>
      </c>
      <c r="Q467" t="s">
        <v>49</v>
      </c>
      <c r="R467">
        <v>164500</v>
      </c>
      <c r="S467" t="s">
        <v>63</v>
      </c>
      <c r="T467">
        <v>1</v>
      </c>
      <c r="U467">
        <v>0</v>
      </c>
      <c r="V467">
        <v>0</v>
      </c>
      <c r="W467">
        <v>0</v>
      </c>
      <c r="X467">
        <v>0</v>
      </c>
      <c r="Y467" s="2">
        <v>-263413.77</v>
      </c>
      <c r="Z467" s="2">
        <v>263414.77</v>
      </c>
      <c r="AA467">
        <v>0</v>
      </c>
    </row>
    <row r="468" spans="1:27" x14ac:dyDescent="0.35">
      <c r="A468">
        <v>3316</v>
      </c>
      <c r="B468">
        <v>0</v>
      </c>
      <c r="C468" s="1">
        <v>41973</v>
      </c>
      <c r="D468">
        <v>1</v>
      </c>
      <c r="E468" t="s">
        <v>334</v>
      </c>
      <c r="F468" t="s">
        <v>439</v>
      </c>
      <c r="G468" s="1">
        <v>41974</v>
      </c>
      <c r="H468" s="2">
        <v>7912.5</v>
      </c>
      <c r="I468" s="2">
        <f t="shared" si="7"/>
        <v>-7911.5</v>
      </c>
      <c r="J468">
        <v>1</v>
      </c>
      <c r="K468" t="s">
        <v>23</v>
      </c>
      <c r="L468">
        <v>10700040</v>
      </c>
      <c r="M468" t="s">
        <v>65</v>
      </c>
      <c r="N468">
        <v>23600</v>
      </c>
      <c r="O468" t="s">
        <v>21</v>
      </c>
      <c r="P468" t="s">
        <v>49</v>
      </c>
      <c r="Q468" t="s">
        <v>22</v>
      </c>
      <c r="R468">
        <v>164500</v>
      </c>
      <c r="S468" t="s">
        <v>63</v>
      </c>
      <c r="T468">
        <v>1</v>
      </c>
      <c r="U468">
        <v>0</v>
      </c>
      <c r="V468">
        <v>0</v>
      </c>
      <c r="W468">
        <v>0</v>
      </c>
      <c r="X468">
        <v>0</v>
      </c>
      <c r="Y468" s="2">
        <v>-119999</v>
      </c>
      <c r="Z468" s="2">
        <v>120000</v>
      </c>
      <c r="AA468">
        <v>0</v>
      </c>
    </row>
    <row r="469" spans="1:27" x14ac:dyDescent="0.35">
      <c r="A469">
        <v>3345</v>
      </c>
      <c r="B469">
        <v>0</v>
      </c>
      <c r="C469" s="1">
        <v>42063</v>
      </c>
      <c r="D469">
        <v>1</v>
      </c>
      <c r="E469" t="s">
        <v>389</v>
      </c>
      <c r="F469" t="s">
        <v>443</v>
      </c>
      <c r="G469" s="1">
        <v>42064</v>
      </c>
      <c r="H469" s="2">
        <v>9991.07</v>
      </c>
      <c r="I469" s="2">
        <f t="shared" si="7"/>
        <v>-9990.07</v>
      </c>
      <c r="J469">
        <v>1</v>
      </c>
      <c r="K469" t="s">
        <v>23</v>
      </c>
      <c r="L469">
        <v>10700040</v>
      </c>
      <c r="M469" t="s">
        <v>65</v>
      </c>
      <c r="N469">
        <v>23600</v>
      </c>
      <c r="O469" t="s">
        <v>21</v>
      </c>
      <c r="P469" t="s">
        <v>49</v>
      </c>
      <c r="Q469" t="s">
        <v>22</v>
      </c>
      <c r="R469">
        <v>164500</v>
      </c>
      <c r="S469" t="s">
        <v>63</v>
      </c>
      <c r="T469">
        <v>1</v>
      </c>
      <c r="U469">
        <v>0</v>
      </c>
      <c r="V469">
        <v>0</v>
      </c>
      <c r="W469">
        <v>0</v>
      </c>
      <c r="X469">
        <v>0</v>
      </c>
      <c r="Y469" s="2">
        <v>-119999</v>
      </c>
      <c r="Z469" s="2">
        <v>120000</v>
      </c>
      <c r="AA469">
        <v>0</v>
      </c>
    </row>
    <row r="470" spans="1:27" x14ac:dyDescent="0.35">
      <c r="A470">
        <v>4366</v>
      </c>
      <c r="B470">
        <v>0</v>
      </c>
      <c r="C470" s="1">
        <v>45535</v>
      </c>
      <c r="D470">
        <v>1</v>
      </c>
      <c r="E470" t="s">
        <v>20</v>
      </c>
      <c r="F470" t="s">
        <v>500</v>
      </c>
      <c r="G470" s="1">
        <v>45536</v>
      </c>
      <c r="H470" s="2">
        <v>62852.68</v>
      </c>
      <c r="I470" s="2">
        <f t="shared" si="7"/>
        <v>-4190.68</v>
      </c>
      <c r="J470" s="2">
        <v>58662</v>
      </c>
      <c r="K470" t="s">
        <v>23</v>
      </c>
      <c r="L470">
        <v>30700040</v>
      </c>
      <c r="M470" t="s">
        <v>62</v>
      </c>
      <c r="N470">
        <v>43000</v>
      </c>
      <c r="O470" t="s">
        <v>382</v>
      </c>
      <c r="P470" t="s">
        <v>382</v>
      </c>
      <c r="Q470" t="s">
        <v>48</v>
      </c>
      <c r="R470">
        <v>164500</v>
      </c>
      <c r="S470" t="s">
        <v>63</v>
      </c>
      <c r="T470">
        <v>1</v>
      </c>
      <c r="U470">
        <v>0</v>
      </c>
      <c r="V470">
        <v>0</v>
      </c>
      <c r="W470">
        <v>0</v>
      </c>
      <c r="X470">
        <v>0</v>
      </c>
      <c r="Y470" s="2">
        <v>-119999</v>
      </c>
      <c r="Z470" s="2">
        <v>120000</v>
      </c>
      <c r="AA470">
        <v>0</v>
      </c>
    </row>
    <row r="471" spans="1:27" x14ac:dyDescent="0.35">
      <c r="A471">
        <v>3146</v>
      </c>
      <c r="B471">
        <v>0</v>
      </c>
      <c r="C471" s="1">
        <v>41639</v>
      </c>
      <c r="D471">
        <v>1</v>
      </c>
      <c r="E471" t="s">
        <v>334</v>
      </c>
      <c r="F471" t="s">
        <v>420</v>
      </c>
      <c r="G471" s="1">
        <v>41640</v>
      </c>
      <c r="H471" s="2">
        <v>39330.51</v>
      </c>
      <c r="I471" s="2">
        <f t="shared" si="7"/>
        <v>-39329.51</v>
      </c>
      <c r="J471">
        <v>1</v>
      </c>
      <c r="K471" t="s">
        <v>23</v>
      </c>
      <c r="L471">
        <v>10700040</v>
      </c>
      <c r="M471" t="s">
        <v>65</v>
      </c>
      <c r="N471">
        <v>25000</v>
      </c>
      <c r="O471" t="s">
        <v>383</v>
      </c>
      <c r="P471" t="s">
        <v>384</v>
      </c>
      <c r="Q471" t="s">
        <v>384</v>
      </c>
      <c r="R471">
        <v>164500</v>
      </c>
      <c r="S471" t="s">
        <v>63</v>
      </c>
      <c r="T471">
        <v>1</v>
      </c>
      <c r="U471">
        <v>0</v>
      </c>
      <c r="V471">
        <v>0</v>
      </c>
      <c r="W471">
        <v>0</v>
      </c>
      <c r="X471">
        <v>0</v>
      </c>
      <c r="Y471" s="2">
        <v>-119999</v>
      </c>
      <c r="Z471" s="2">
        <v>120000</v>
      </c>
      <c r="AA471">
        <v>0</v>
      </c>
    </row>
    <row r="472" spans="1:27" x14ac:dyDescent="0.35">
      <c r="A472">
        <v>3272</v>
      </c>
      <c r="B472">
        <v>0</v>
      </c>
      <c r="C472" s="1">
        <v>41852</v>
      </c>
      <c r="D472">
        <v>1</v>
      </c>
      <c r="E472" t="s">
        <v>389</v>
      </c>
      <c r="F472" t="s">
        <v>430</v>
      </c>
      <c r="G472" s="1">
        <v>41852</v>
      </c>
      <c r="H472" s="2">
        <v>432259.82</v>
      </c>
      <c r="I472" s="2">
        <f t="shared" si="7"/>
        <v>-300187.82</v>
      </c>
      <c r="J472" s="2">
        <v>132072</v>
      </c>
      <c r="K472" t="s">
        <v>368</v>
      </c>
      <c r="L472">
        <v>10700040</v>
      </c>
      <c r="M472" t="s">
        <v>65</v>
      </c>
      <c r="N472">
        <v>25000</v>
      </c>
      <c r="O472" t="s">
        <v>383</v>
      </c>
      <c r="P472" t="s">
        <v>384</v>
      </c>
      <c r="Q472" t="s">
        <v>384</v>
      </c>
      <c r="R472">
        <v>164500</v>
      </c>
      <c r="S472" t="s">
        <v>63</v>
      </c>
      <c r="T472">
        <v>1</v>
      </c>
      <c r="U472">
        <v>0</v>
      </c>
      <c r="V472">
        <v>0</v>
      </c>
      <c r="W472">
        <v>0</v>
      </c>
      <c r="X472">
        <v>0</v>
      </c>
      <c r="Y472" s="2">
        <v>-119999</v>
      </c>
      <c r="Z472" s="2">
        <v>120000</v>
      </c>
      <c r="AA472">
        <v>0</v>
      </c>
    </row>
    <row r="473" spans="1:27" x14ac:dyDescent="0.35">
      <c r="A473">
        <v>3273</v>
      </c>
      <c r="B473">
        <v>0</v>
      </c>
      <c r="C473" s="1">
        <v>41852</v>
      </c>
      <c r="D473">
        <v>1</v>
      </c>
      <c r="E473" t="s">
        <v>389</v>
      </c>
      <c r="F473" t="s">
        <v>430</v>
      </c>
      <c r="G473" s="1">
        <v>41852</v>
      </c>
      <c r="H473" s="2">
        <v>432259.82</v>
      </c>
      <c r="I473" s="2">
        <f t="shared" si="7"/>
        <v>-300187.82</v>
      </c>
      <c r="J473" s="2">
        <v>132072</v>
      </c>
      <c r="K473" t="s">
        <v>368</v>
      </c>
      <c r="L473">
        <v>10700040</v>
      </c>
      <c r="M473" t="s">
        <v>65</v>
      </c>
      <c r="N473">
        <v>25000</v>
      </c>
      <c r="O473" t="s">
        <v>383</v>
      </c>
      <c r="P473" t="s">
        <v>384</v>
      </c>
      <c r="Q473" t="s">
        <v>384</v>
      </c>
      <c r="R473">
        <v>164500</v>
      </c>
      <c r="S473" t="s">
        <v>63</v>
      </c>
      <c r="T473">
        <v>1</v>
      </c>
      <c r="U473">
        <v>0</v>
      </c>
      <c r="V473">
        <v>0</v>
      </c>
      <c r="W473">
        <v>0</v>
      </c>
      <c r="X473">
        <v>0</v>
      </c>
      <c r="Y473" s="2">
        <v>-119999</v>
      </c>
      <c r="Z473" s="2">
        <v>120000</v>
      </c>
      <c r="AA473">
        <v>0</v>
      </c>
    </row>
    <row r="474" spans="1:27" x14ac:dyDescent="0.35">
      <c r="A474">
        <v>3274</v>
      </c>
      <c r="B474">
        <v>0</v>
      </c>
      <c r="C474" s="1">
        <v>41852</v>
      </c>
      <c r="D474">
        <v>1</v>
      </c>
      <c r="E474" t="s">
        <v>389</v>
      </c>
      <c r="F474" t="s">
        <v>430</v>
      </c>
      <c r="G474" s="1">
        <v>41852</v>
      </c>
      <c r="H474" s="2">
        <v>432259.82</v>
      </c>
      <c r="I474" s="2">
        <f t="shared" si="7"/>
        <v>-300187.82</v>
      </c>
      <c r="J474" s="2">
        <v>132072</v>
      </c>
      <c r="K474" t="s">
        <v>368</v>
      </c>
      <c r="L474">
        <v>10700040</v>
      </c>
      <c r="M474" t="s">
        <v>65</v>
      </c>
      <c r="N474">
        <v>25000</v>
      </c>
      <c r="O474" t="s">
        <v>383</v>
      </c>
      <c r="P474" t="s">
        <v>384</v>
      </c>
      <c r="Q474" t="s">
        <v>384</v>
      </c>
      <c r="R474">
        <v>164500</v>
      </c>
      <c r="S474" t="s">
        <v>63</v>
      </c>
      <c r="T474">
        <v>1</v>
      </c>
      <c r="U474">
        <v>0</v>
      </c>
      <c r="V474">
        <v>0</v>
      </c>
      <c r="W474">
        <v>0</v>
      </c>
      <c r="X474">
        <v>0</v>
      </c>
      <c r="Y474" s="2">
        <v>-119999</v>
      </c>
      <c r="Z474" s="2">
        <v>120000</v>
      </c>
      <c r="AA474">
        <v>0</v>
      </c>
    </row>
    <row r="475" spans="1:27" x14ac:dyDescent="0.35">
      <c r="A475">
        <v>3275</v>
      </c>
      <c r="B475">
        <v>0</v>
      </c>
      <c r="C475" s="1">
        <v>41852</v>
      </c>
      <c r="D475">
        <v>1</v>
      </c>
      <c r="E475" t="s">
        <v>389</v>
      </c>
      <c r="F475" t="s">
        <v>430</v>
      </c>
      <c r="G475" s="1">
        <v>41852</v>
      </c>
      <c r="H475" s="2">
        <v>432259.82</v>
      </c>
      <c r="I475" s="2">
        <f t="shared" si="7"/>
        <v>-300187.82</v>
      </c>
      <c r="J475" s="2">
        <v>132072</v>
      </c>
      <c r="K475" t="s">
        <v>368</v>
      </c>
      <c r="L475">
        <v>10700040</v>
      </c>
      <c r="M475" t="s">
        <v>65</v>
      </c>
      <c r="N475">
        <v>25000</v>
      </c>
      <c r="O475" t="s">
        <v>383</v>
      </c>
      <c r="P475" t="s">
        <v>384</v>
      </c>
      <c r="Q475" t="s">
        <v>384</v>
      </c>
      <c r="R475">
        <v>164500</v>
      </c>
      <c r="S475" t="s">
        <v>63</v>
      </c>
      <c r="T475">
        <v>1</v>
      </c>
      <c r="U475">
        <v>0</v>
      </c>
      <c r="V475">
        <v>0</v>
      </c>
      <c r="W475">
        <v>0</v>
      </c>
      <c r="X475">
        <v>0</v>
      </c>
      <c r="Y475" s="2">
        <v>-133999</v>
      </c>
      <c r="Z475" s="2">
        <v>134000</v>
      </c>
      <c r="AA475">
        <v>0</v>
      </c>
    </row>
    <row r="476" spans="1:27" x14ac:dyDescent="0.35">
      <c r="A476">
        <v>3276</v>
      </c>
      <c r="B476">
        <v>0</v>
      </c>
      <c r="C476" s="1">
        <v>41852</v>
      </c>
      <c r="D476">
        <v>1</v>
      </c>
      <c r="E476" t="s">
        <v>389</v>
      </c>
      <c r="F476" t="s">
        <v>430</v>
      </c>
      <c r="G476" s="1">
        <v>41852</v>
      </c>
      <c r="H476" s="2">
        <v>432524.51</v>
      </c>
      <c r="I476" s="2">
        <f t="shared" si="7"/>
        <v>-300364.51</v>
      </c>
      <c r="J476" s="2">
        <v>132160</v>
      </c>
      <c r="K476" t="s">
        <v>368</v>
      </c>
      <c r="L476">
        <v>10700040</v>
      </c>
      <c r="M476" t="s">
        <v>65</v>
      </c>
      <c r="N476">
        <v>25000</v>
      </c>
      <c r="O476" t="s">
        <v>383</v>
      </c>
      <c r="P476" t="s">
        <v>384</v>
      </c>
      <c r="Q476" t="s">
        <v>384</v>
      </c>
      <c r="R476">
        <v>164500</v>
      </c>
      <c r="S476" t="s">
        <v>63</v>
      </c>
      <c r="T476">
        <v>1</v>
      </c>
      <c r="U476">
        <v>0</v>
      </c>
      <c r="V476">
        <v>0</v>
      </c>
      <c r="W476">
        <v>0</v>
      </c>
      <c r="X476">
        <v>0</v>
      </c>
      <c r="Y476" s="2">
        <v>-133999</v>
      </c>
      <c r="Z476" s="2">
        <v>134000</v>
      </c>
      <c r="AA476">
        <v>0</v>
      </c>
    </row>
    <row r="477" spans="1:27" x14ac:dyDescent="0.35">
      <c r="A477">
        <v>3277</v>
      </c>
      <c r="B477">
        <v>0</v>
      </c>
      <c r="C477" s="1">
        <v>41852</v>
      </c>
      <c r="D477">
        <v>1</v>
      </c>
      <c r="E477" t="s">
        <v>389</v>
      </c>
      <c r="F477" t="s">
        <v>430</v>
      </c>
      <c r="G477" s="1">
        <v>41852</v>
      </c>
      <c r="H477" s="2">
        <v>432524.51</v>
      </c>
      <c r="I477" s="2">
        <f t="shared" si="7"/>
        <v>-300364.51</v>
      </c>
      <c r="J477" s="2">
        <v>132160</v>
      </c>
      <c r="K477" t="s">
        <v>368</v>
      </c>
      <c r="L477">
        <v>10700040</v>
      </c>
      <c r="M477" t="s">
        <v>65</v>
      </c>
      <c r="N477">
        <v>25000</v>
      </c>
      <c r="O477" t="s">
        <v>383</v>
      </c>
      <c r="P477" t="s">
        <v>384</v>
      </c>
      <c r="Q477" t="s">
        <v>384</v>
      </c>
      <c r="R477">
        <v>164500</v>
      </c>
      <c r="S477" t="s">
        <v>63</v>
      </c>
      <c r="T477">
        <v>1</v>
      </c>
      <c r="U477">
        <v>0</v>
      </c>
      <c r="V477">
        <v>0</v>
      </c>
      <c r="W477">
        <v>0</v>
      </c>
      <c r="X477">
        <v>0</v>
      </c>
      <c r="Y477" s="2">
        <v>-133999</v>
      </c>
      <c r="Z477" s="2">
        <v>134000</v>
      </c>
      <c r="AA477">
        <v>0</v>
      </c>
    </row>
    <row r="478" spans="1:27" x14ac:dyDescent="0.35">
      <c r="A478">
        <v>3765</v>
      </c>
      <c r="B478">
        <v>0</v>
      </c>
      <c r="C478" s="1">
        <v>43251</v>
      </c>
      <c r="D478">
        <v>1</v>
      </c>
      <c r="E478" t="s">
        <v>20</v>
      </c>
      <c r="F478" t="s">
        <v>480</v>
      </c>
      <c r="G478" s="1">
        <v>43221</v>
      </c>
      <c r="H478" s="2">
        <v>104000</v>
      </c>
      <c r="I478" s="2">
        <f t="shared" si="7"/>
        <v>-103999</v>
      </c>
      <c r="J478">
        <v>1</v>
      </c>
      <c r="K478" t="s">
        <v>23</v>
      </c>
      <c r="L478">
        <v>10700040</v>
      </c>
      <c r="M478" t="s">
        <v>65</v>
      </c>
      <c r="N478">
        <v>25000</v>
      </c>
      <c r="O478" t="s">
        <v>383</v>
      </c>
      <c r="P478" t="s">
        <v>384</v>
      </c>
      <c r="Q478" t="s">
        <v>384</v>
      </c>
      <c r="R478">
        <v>164500</v>
      </c>
      <c r="S478" t="s">
        <v>63</v>
      </c>
      <c r="T478">
        <v>1</v>
      </c>
      <c r="U478">
        <v>0</v>
      </c>
      <c r="V478">
        <v>0</v>
      </c>
      <c r="W478">
        <v>0</v>
      </c>
      <c r="X478">
        <v>0</v>
      </c>
      <c r="Y478" s="2">
        <v>-133999</v>
      </c>
      <c r="Z478" s="2">
        <v>134000</v>
      </c>
      <c r="AA478">
        <v>0</v>
      </c>
    </row>
    <row r="479" spans="1:27" x14ac:dyDescent="0.35">
      <c r="A479">
        <v>4064</v>
      </c>
      <c r="B479">
        <v>0</v>
      </c>
      <c r="C479" s="1">
        <v>44408</v>
      </c>
      <c r="D479">
        <v>1</v>
      </c>
      <c r="E479" t="s">
        <v>389</v>
      </c>
      <c r="F479" t="s">
        <v>492</v>
      </c>
      <c r="G479" s="1">
        <v>44378</v>
      </c>
      <c r="H479" s="2">
        <v>140000</v>
      </c>
      <c r="I479" s="2">
        <f t="shared" si="7"/>
        <v>-98000</v>
      </c>
      <c r="J479" s="2">
        <v>42000</v>
      </c>
      <c r="K479" t="s">
        <v>23</v>
      </c>
      <c r="L479">
        <v>10700040</v>
      </c>
      <c r="M479" t="s">
        <v>65</v>
      </c>
      <c r="N479">
        <v>25000</v>
      </c>
      <c r="O479" t="s">
        <v>383</v>
      </c>
      <c r="P479" t="s">
        <v>384</v>
      </c>
      <c r="Q479" t="s">
        <v>384</v>
      </c>
      <c r="R479">
        <v>164500</v>
      </c>
      <c r="S479" t="s">
        <v>63</v>
      </c>
      <c r="T479">
        <v>1</v>
      </c>
      <c r="U479">
        <v>0</v>
      </c>
      <c r="V479">
        <v>0</v>
      </c>
      <c r="W479">
        <v>0</v>
      </c>
      <c r="X479">
        <v>0</v>
      </c>
      <c r="Y479" s="2">
        <v>-133999</v>
      </c>
      <c r="Z479" s="2">
        <v>134000</v>
      </c>
      <c r="AA479">
        <v>0</v>
      </c>
    </row>
    <row r="480" spans="1:27" x14ac:dyDescent="0.35">
      <c r="A480">
        <v>4214</v>
      </c>
      <c r="B480">
        <v>0</v>
      </c>
      <c r="C480" s="1">
        <v>45107</v>
      </c>
      <c r="D480">
        <v>1</v>
      </c>
      <c r="E480" t="s">
        <v>334</v>
      </c>
      <c r="F480" t="s">
        <v>504</v>
      </c>
      <c r="G480" s="1">
        <v>45078</v>
      </c>
      <c r="H480" s="2">
        <v>213780</v>
      </c>
      <c r="I480" s="2">
        <f t="shared" si="7"/>
        <v>-67697</v>
      </c>
      <c r="J480" s="2">
        <v>146083</v>
      </c>
      <c r="K480" t="s">
        <v>23</v>
      </c>
      <c r="L480">
        <v>10700040</v>
      </c>
      <c r="M480" t="s">
        <v>65</v>
      </c>
      <c r="N480">
        <v>25000</v>
      </c>
      <c r="O480" t="s">
        <v>383</v>
      </c>
      <c r="P480" t="s">
        <v>384</v>
      </c>
      <c r="Q480" t="s">
        <v>384</v>
      </c>
      <c r="R480">
        <v>164500</v>
      </c>
      <c r="S480" t="s">
        <v>63</v>
      </c>
      <c r="T480">
        <v>1</v>
      </c>
      <c r="U480">
        <v>0</v>
      </c>
      <c r="V480">
        <v>0</v>
      </c>
      <c r="W480">
        <v>0</v>
      </c>
      <c r="X480">
        <v>0</v>
      </c>
      <c r="Y480" s="2">
        <v>-133999</v>
      </c>
      <c r="Z480" s="2">
        <v>134000</v>
      </c>
      <c r="AA480">
        <v>0</v>
      </c>
    </row>
    <row r="481" spans="1:27" x14ac:dyDescent="0.35">
      <c r="A481">
        <v>4262</v>
      </c>
      <c r="B481">
        <v>0</v>
      </c>
      <c r="C481" s="1">
        <v>45260</v>
      </c>
      <c r="D481">
        <v>1</v>
      </c>
      <c r="E481" t="s">
        <v>389</v>
      </c>
      <c r="F481" t="s">
        <v>505</v>
      </c>
      <c r="G481" s="1">
        <v>45170</v>
      </c>
      <c r="H481" s="2">
        <v>107912.28</v>
      </c>
      <c r="I481" s="2">
        <f t="shared" si="7"/>
        <v>-28778.28</v>
      </c>
      <c r="J481" s="2">
        <v>79134</v>
      </c>
      <c r="K481" t="s">
        <v>23</v>
      </c>
      <c r="L481">
        <v>10700040</v>
      </c>
      <c r="M481" t="s">
        <v>65</v>
      </c>
      <c r="N481">
        <v>25000</v>
      </c>
      <c r="O481" t="s">
        <v>383</v>
      </c>
      <c r="P481" t="s">
        <v>384</v>
      </c>
      <c r="Q481" t="s">
        <v>384</v>
      </c>
      <c r="R481">
        <v>164500</v>
      </c>
      <c r="S481" t="s">
        <v>63</v>
      </c>
      <c r="T481">
        <v>1</v>
      </c>
      <c r="U481">
        <v>0</v>
      </c>
      <c r="V481">
        <v>0</v>
      </c>
      <c r="W481">
        <v>0</v>
      </c>
      <c r="X481">
        <v>0</v>
      </c>
      <c r="Y481" s="2">
        <v>-225999</v>
      </c>
      <c r="Z481" s="2">
        <v>226000</v>
      </c>
      <c r="AA481">
        <v>0</v>
      </c>
    </row>
    <row r="482" spans="1:27" x14ac:dyDescent="0.35">
      <c r="A482">
        <v>4292</v>
      </c>
      <c r="B482">
        <v>0</v>
      </c>
      <c r="C482" s="1">
        <v>45291</v>
      </c>
      <c r="D482">
        <v>1</v>
      </c>
      <c r="E482" t="s">
        <v>389</v>
      </c>
      <c r="F482" t="s">
        <v>507</v>
      </c>
      <c r="G482" s="1">
        <v>45261</v>
      </c>
      <c r="H482" s="2">
        <v>96573.57</v>
      </c>
      <c r="I482" s="2">
        <f t="shared" si="7"/>
        <v>-20924.570000000007</v>
      </c>
      <c r="J482" s="2">
        <v>75649</v>
      </c>
      <c r="K482" t="s">
        <v>23</v>
      </c>
      <c r="L482">
        <v>10700040</v>
      </c>
      <c r="M482" t="s">
        <v>65</v>
      </c>
      <c r="N482">
        <v>25000</v>
      </c>
      <c r="O482" t="s">
        <v>383</v>
      </c>
      <c r="P482" t="s">
        <v>384</v>
      </c>
      <c r="Q482" t="s">
        <v>384</v>
      </c>
      <c r="R482">
        <v>164500</v>
      </c>
      <c r="S482" t="s">
        <v>63</v>
      </c>
      <c r="T482">
        <v>1</v>
      </c>
      <c r="U482">
        <v>0</v>
      </c>
      <c r="V482">
        <v>0</v>
      </c>
      <c r="W482">
        <v>0</v>
      </c>
      <c r="X482">
        <v>0</v>
      </c>
      <c r="Y482" s="2">
        <v>-225999</v>
      </c>
      <c r="Z482" s="2">
        <v>226000</v>
      </c>
      <c r="AA482">
        <v>0</v>
      </c>
    </row>
    <row r="483" spans="1:27" x14ac:dyDescent="0.35">
      <c r="A483">
        <v>4398</v>
      </c>
      <c r="B483">
        <v>0</v>
      </c>
      <c r="C483" s="1">
        <v>45657</v>
      </c>
      <c r="D483">
        <v>1</v>
      </c>
      <c r="E483" t="s">
        <v>20</v>
      </c>
      <c r="F483" t="s">
        <v>517</v>
      </c>
      <c r="G483" s="1">
        <v>45658</v>
      </c>
      <c r="H483" s="2">
        <v>147500</v>
      </c>
      <c r="I483" s="2">
        <f t="shared" si="7"/>
        <v>0</v>
      </c>
      <c r="J483" s="2">
        <v>147500</v>
      </c>
      <c r="K483" t="s">
        <v>23</v>
      </c>
      <c r="L483">
        <v>10700040</v>
      </c>
      <c r="M483" t="s">
        <v>65</v>
      </c>
      <c r="N483">
        <v>25000</v>
      </c>
      <c r="O483" t="s">
        <v>383</v>
      </c>
      <c r="P483" t="s">
        <v>384</v>
      </c>
      <c r="Q483" t="s">
        <v>384</v>
      </c>
      <c r="R483">
        <v>164500</v>
      </c>
      <c r="S483" t="s">
        <v>63</v>
      </c>
      <c r="T483">
        <v>1</v>
      </c>
      <c r="U483">
        <v>0</v>
      </c>
      <c r="V483">
        <v>0</v>
      </c>
      <c r="W483">
        <v>0</v>
      </c>
      <c r="X483">
        <v>0</v>
      </c>
      <c r="Y483" s="2">
        <v>-225999</v>
      </c>
      <c r="Z483" s="2">
        <v>226000</v>
      </c>
      <c r="AA483">
        <v>0</v>
      </c>
    </row>
    <row r="484" spans="1:27" x14ac:dyDescent="0.35">
      <c r="A484">
        <v>2681</v>
      </c>
      <c r="B484">
        <v>0</v>
      </c>
      <c r="C484" s="1">
        <v>31667</v>
      </c>
      <c r="D484">
        <v>2</v>
      </c>
      <c r="E484" t="s">
        <v>20</v>
      </c>
      <c r="F484" t="s">
        <v>78</v>
      </c>
      <c r="G484" s="1">
        <v>31667</v>
      </c>
      <c r="H484" s="2">
        <v>107938.45</v>
      </c>
      <c r="I484" s="2">
        <f t="shared" si="7"/>
        <v>-107937.45</v>
      </c>
      <c r="J484">
        <v>1</v>
      </c>
      <c r="K484" t="s">
        <v>23</v>
      </c>
      <c r="L484">
        <v>10700040</v>
      </c>
      <c r="M484" t="s">
        <v>65</v>
      </c>
      <c r="N484">
        <v>20500</v>
      </c>
      <c r="O484" t="s">
        <v>42</v>
      </c>
      <c r="P484" t="s">
        <v>523</v>
      </c>
      <c r="Q484" t="s">
        <v>43</v>
      </c>
      <c r="R484">
        <v>164500</v>
      </c>
      <c r="S484" t="s">
        <v>63</v>
      </c>
      <c r="T484">
        <v>1</v>
      </c>
      <c r="U484">
        <v>0</v>
      </c>
      <c r="V484">
        <v>0</v>
      </c>
      <c r="W484">
        <v>0</v>
      </c>
      <c r="X484">
        <v>0</v>
      </c>
      <c r="Y484" s="2">
        <v>-225999</v>
      </c>
      <c r="Z484" s="2">
        <v>226000</v>
      </c>
      <c r="AA484">
        <v>0</v>
      </c>
    </row>
    <row r="485" spans="1:27" x14ac:dyDescent="0.35">
      <c r="A485">
        <v>2680</v>
      </c>
      <c r="B485">
        <v>0</v>
      </c>
      <c r="C485" s="1">
        <v>32685</v>
      </c>
      <c r="D485">
        <v>1</v>
      </c>
      <c r="E485" t="s">
        <v>20</v>
      </c>
      <c r="F485" t="s">
        <v>124</v>
      </c>
      <c r="G485" s="1">
        <v>32685</v>
      </c>
      <c r="H485" s="2">
        <v>34456.14</v>
      </c>
      <c r="I485" s="2">
        <f t="shared" si="7"/>
        <v>-34455.14</v>
      </c>
      <c r="J485">
        <v>1</v>
      </c>
      <c r="K485" t="s">
        <v>23</v>
      </c>
      <c r="L485">
        <v>10700040</v>
      </c>
      <c r="M485" t="s">
        <v>65</v>
      </c>
      <c r="N485">
        <v>20500</v>
      </c>
      <c r="O485" t="s">
        <v>42</v>
      </c>
      <c r="P485" t="s">
        <v>523</v>
      </c>
      <c r="Q485" t="s">
        <v>43</v>
      </c>
      <c r="R485">
        <v>164500</v>
      </c>
      <c r="S485" t="s">
        <v>63</v>
      </c>
      <c r="T485" s="2">
        <v>9284</v>
      </c>
      <c r="U485">
        <v>0</v>
      </c>
      <c r="V485" s="2">
        <v>-9283</v>
      </c>
      <c r="W485">
        <v>0</v>
      </c>
      <c r="X485" s="2">
        <v>-9283</v>
      </c>
      <c r="Y485" s="2">
        <v>-547923.06999999995</v>
      </c>
      <c r="Z485" s="2">
        <v>557207.06999999995</v>
      </c>
      <c r="AA485">
        <v>0</v>
      </c>
    </row>
    <row r="486" spans="1:27" x14ac:dyDescent="0.35">
      <c r="A486">
        <v>2679</v>
      </c>
      <c r="B486">
        <v>0</v>
      </c>
      <c r="C486" s="1">
        <v>33961</v>
      </c>
      <c r="D486">
        <v>1</v>
      </c>
      <c r="E486" t="s">
        <v>20</v>
      </c>
      <c r="F486" t="s">
        <v>179</v>
      </c>
      <c r="G486" s="1">
        <v>33961</v>
      </c>
      <c r="H486" s="2">
        <v>25909.09</v>
      </c>
      <c r="I486" s="2">
        <f t="shared" si="7"/>
        <v>-25908.09</v>
      </c>
      <c r="J486">
        <v>1</v>
      </c>
      <c r="K486" t="s">
        <v>23</v>
      </c>
      <c r="L486">
        <v>30700040</v>
      </c>
      <c r="M486" t="s">
        <v>62</v>
      </c>
      <c r="N486">
        <v>20500</v>
      </c>
      <c r="O486" t="s">
        <v>42</v>
      </c>
      <c r="P486" t="s">
        <v>523</v>
      </c>
      <c r="Q486" t="s">
        <v>43</v>
      </c>
      <c r="R486">
        <v>164500</v>
      </c>
      <c r="S486" t="s">
        <v>63</v>
      </c>
      <c r="T486" s="2">
        <v>360000</v>
      </c>
      <c r="U486">
        <v>0</v>
      </c>
      <c r="V486" s="2">
        <v>-359999</v>
      </c>
      <c r="W486">
        <v>0</v>
      </c>
      <c r="X486" s="2">
        <v>-359999</v>
      </c>
      <c r="Y486" s="2">
        <v>-1440000</v>
      </c>
      <c r="Z486" s="2">
        <v>1800000</v>
      </c>
      <c r="AA486">
        <v>0</v>
      </c>
    </row>
    <row r="487" spans="1:27" x14ac:dyDescent="0.35">
      <c r="A487">
        <v>2678</v>
      </c>
      <c r="B487">
        <v>0</v>
      </c>
      <c r="C487" s="1">
        <v>34699</v>
      </c>
      <c r="D487">
        <v>1</v>
      </c>
      <c r="E487" t="s">
        <v>20</v>
      </c>
      <c r="F487" t="s">
        <v>203</v>
      </c>
      <c r="G487" s="1">
        <v>34699</v>
      </c>
      <c r="H487" s="2">
        <v>4318.18</v>
      </c>
      <c r="I487" s="2">
        <f t="shared" si="7"/>
        <v>-4317.18</v>
      </c>
      <c r="J487">
        <v>1</v>
      </c>
      <c r="K487" t="s">
        <v>23</v>
      </c>
      <c r="L487">
        <v>10700040</v>
      </c>
      <c r="M487" t="s">
        <v>65</v>
      </c>
      <c r="N487">
        <v>20500</v>
      </c>
      <c r="O487" t="s">
        <v>42</v>
      </c>
      <c r="P487" t="s">
        <v>523</v>
      </c>
      <c r="Q487" t="s">
        <v>43</v>
      </c>
      <c r="R487">
        <v>164500</v>
      </c>
      <c r="S487" t="s">
        <v>63</v>
      </c>
      <c r="T487" s="2">
        <v>37711</v>
      </c>
      <c r="U487">
        <v>0</v>
      </c>
      <c r="V487" s="2">
        <v>-20570</v>
      </c>
      <c r="W487">
        <v>0</v>
      </c>
      <c r="X487" s="2">
        <v>-20570</v>
      </c>
      <c r="Y487" s="2">
        <v>-65139</v>
      </c>
      <c r="Z487" s="2">
        <v>102850</v>
      </c>
      <c r="AA487">
        <v>0</v>
      </c>
    </row>
    <row r="488" spans="1:27" x14ac:dyDescent="0.35">
      <c r="A488">
        <v>2677</v>
      </c>
      <c r="B488">
        <v>0</v>
      </c>
      <c r="C488" s="1">
        <v>35285</v>
      </c>
      <c r="D488">
        <v>1</v>
      </c>
      <c r="E488" t="s">
        <v>20</v>
      </c>
      <c r="F488" t="s">
        <v>235</v>
      </c>
      <c r="G488" s="1">
        <v>35285</v>
      </c>
      <c r="H488" s="2">
        <v>15000</v>
      </c>
      <c r="I488" s="2">
        <f t="shared" si="7"/>
        <v>-14999</v>
      </c>
      <c r="J488">
        <v>1</v>
      </c>
      <c r="K488" t="s">
        <v>23</v>
      </c>
      <c r="L488">
        <v>10700040</v>
      </c>
      <c r="M488" t="s">
        <v>65</v>
      </c>
      <c r="N488">
        <v>20500</v>
      </c>
      <c r="O488" t="s">
        <v>42</v>
      </c>
      <c r="P488" t="s">
        <v>523</v>
      </c>
      <c r="Q488" t="s">
        <v>43</v>
      </c>
      <c r="R488">
        <v>164500</v>
      </c>
      <c r="S488" t="s">
        <v>63</v>
      </c>
      <c r="T488" s="2">
        <v>37711</v>
      </c>
      <c r="U488">
        <v>0</v>
      </c>
      <c r="V488" s="2">
        <v>-20570</v>
      </c>
      <c r="W488">
        <v>0</v>
      </c>
      <c r="X488" s="2">
        <v>-20570</v>
      </c>
      <c r="Y488" s="2">
        <v>-65139</v>
      </c>
      <c r="Z488" s="2">
        <v>102850</v>
      </c>
      <c r="AA488">
        <v>0</v>
      </c>
    </row>
    <row r="489" spans="1:27" x14ac:dyDescent="0.35">
      <c r="A489">
        <v>2676</v>
      </c>
      <c r="B489">
        <v>0</v>
      </c>
      <c r="C489" s="1">
        <v>35304</v>
      </c>
      <c r="D489">
        <v>1</v>
      </c>
      <c r="E489" t="s">
        <v>20</v>
      </c>
      <c r="F489" t="s">
        <v>240</v>
      </c>
      <c r="G489" s="1">
        <v>35304</v>
      </c>
      <c r="H489" s="2">
        <v>5511.5</v>
      </c>
      <c r="I489" s="2">
        <f t="shared" si="7"/>
        <v>-5510.5</v>
      </c>
      <c r="J489">
        <v>1</v>
      </c>
      <c r="K489" t="s">
        <v>23</v>
      </c>
      <c r="L489">
        <v>10700040</v>
      </c>
      <c r="M489" t="s">
        <v>65</v>
      </c>
      <c r="N489">
        <v>20500</v>
      </c>
      <c r="O489" t="s">
        <v>42</v>
      </c>
      <c r="P489" t="s">
        <v>523</v>
      </c>
      <c r="Q489" t="s">
        <v>43</v>
      </c>
      <c r="R489">
        <v>164500</v>
      </c>
      <c r="S489" t="s">
        <v>63</v>
      </c>
      <c r="T489" s="2">
        <v>36646</v>
      </c>
      <c r="U489">
        <v>0</v>
      </c>
      <c r="V489" s="2">
        <v>-19989</v>
      </c>
      <c r="W489">
        <v>0</v>
      </c>
      <c r="X489" s="2">
        <v>-19989</v>
      </c>
      <c r="Y489" s="2">
        <v>-63299</v>
      </c>
      <c r="Z489" s="2">
        <v>99945</v>
      </c>
      <c r="AA489">
        <v>0</v>
      </c>
    </row>
    <row r="490" spans="1:27" x14ac:dyDescent="0.35">
      <c r="A490">
        <v>2675</v>
      </c>
      <c r="B490">
        <v>0</v>
      </c>
      <c r="C490" s="1">
        <v>35558</v>
      </c>
      <c r="D490">
        <v>3</v>
      </c>
      <c r="E490" t="s">
        <v>20</v>
      </c>
      <c r="F490" t="s">
        <v>266</v>
      </c>
      <c r="G490" s="1">
        <v>35558</v>
      </c>
      <c r="H490" s="2">
        <v>134545.45000000001</v>
      </c>
      <c r="I490" s="2">
        <f t="shared" si="7"/>
        <v>-134544.45000000001</v>
      </c>
      <c r="J490">
        <v>1</v>
      </c>
      <c r="K490" t="s">
        <v>23</v>
      </c>
      <c r="L490">
        <v>10700040</v>
      </c>
      <c r="M490" t="s">
        <v>65</v>
      </c>
      <c r="N490">
        <v>20500</v>
      </c>
      <c r="O490" t="s">
        <v>42</v>
      </c>
      <c r="P490" t="s">
        <v>523</v>
      </c>
      <c r="Q490" t="s">
        <v>43</v>
      </c>
      <c r="R490">
        <v>164500</v>
      </c>
      <c r="S490" t="s">
        <v>63</v>
      </c>
      <c r="T490" s="2">
        <v>102486</v>
      </c>
      <c r="U490">
        <v>0</v>
      </c>
      <c r="V490" s="2">
        <v>-39672</v>
      </c>
      <c r="W490">
        <v>0</v>
      </c>
      <c r="X490" s="2">
        <v>-39672</v>
      </c>
      <c r="Y490" s="2">
        <v>-95874</v>
      </c>
      <c r="Z490" s="2">
        <v>198360</v>
      </c>
      <c r="AA490">
        <v>0</v>
      </c>
    </row>
    <row r="491" spans="1:27" x14ac:dyDescent="0.35">
      <c r="A491">
        <v>2674</v>
      </c>
      <c r="B491">
        <v>0</v>
      </c>
      <c r="C491" s="1">
        <v>35791</v>
      </c>
      <c r="D491">
        <v>1</v>
      </c>
      <c r="E491" t="s">
        <v>20</v>
      </c>
      <c r="F491" t="s">
        <v>283</v>
      </c>
      <c r="G491" s="1">
        <v>35791</v>
      </c>
      <c r="H491" s="2">
        <v>175583.6</v>
      </c>
      <c r="I491" s="2">
        <f t="shared" si="7"/>
        <v>-175582.6</v>
      </c>
      <c r="J491">
        <v>1</v>
      </c>
      <c r="K491" t="s">
        <v>23</v>
      </c>
      <c r="L491">
        <v>10700040</v>
      </c>
      <c r="M491" t="s">
        <v>65</v>
      </c>
      <c r="N491">
        <v>20500</v>
      </c>
      <c r="O491" t="s">
        <v>42</v>
      </c>
      <c r="P491" t="s">
        <v>523</v>
      </c>
      <c r="Q491" t="s">
        <v>43</v>
      </c>
      <c r="R491">
        <v>164500</v>
      </c>
      <c r="S491" t="s">
        <v>63</v>
      </c>
      <c r="T491" s="2">
        <v>70000</v>
      </c>
      <c r="U491">
        <v>0</v>
      </c>
      <c r="V491" s="2">
        <v>-28000</v>
      </c>
      <c r="W491">
        <v>0</v>
      </c>
      <c r="X491" s="2">
        <v>-28000</v>
      </c>
      <c r="Y491" s="2">
        <v>-70000</v>
      </c>
      <c r="Z491" s="2">
        <v>140000</v>
      </c>
      <c r="AA491">
        <v>0</v>
      </c>
    </row>
    <row r="492" spans="1:27" x14ac:dyDescent="0.35">
      <c r="A492">
        <v>2361</v>
      </c>
      <c r="B492">
        <v>0</v>
      </c>
      <c r="C492" s="1">
        <v>35804</v>
      </c>
      <c r="D492">
        <v>1</v>
      </c>
      <c r="E492" t="s">
        <v>20</v>
      </c>
      <c r="F492" t="s">
        <v>284</v>
      </c>
      <c r="G492" s="1">
        <v>35804</v>
      </c>
      <c r="H492" s="2">
        <v>78796.649999999994</v>
      </c>
      <c r="I492" s="2">
        <f t="shared" si="7"/>
        <v>-78795.649999999994</v>
      </c>
      <c r="J492">
        <v>1</v>
      </c>
      <c r="K492" t="s">
        <v>23</v>
      </c>
      <c r="L492">
        <v>10700040</v>
      </c>
      <c r="M492" t="s">
        <v>65</v>
      </c>
      <c r="N492">
        <v>20500</v>
      </c>
      <c r="O492" t="s">
        <v>42</v>
      </c>
      <c r="P492" t="s">
        <v>523</v>
      </c>
      <c r="Q492" t="s">
        <v>43</v>
      </c>
      <c r="R492">
        <v>164500</v>
      </c>
      <c r="S492" t="s">
        <v>63</v>
      </c>
      <c r="T492" s="2">
        <v>42594</v>
      </c>
      <c r="U492">
        <v>0</v>
      </c>
      <c r="V492" s="2">
        <v>-16488</v>
      </c>
      <c r="W492">
        <v>0</v>
      </c>
      <c r="X492" s="2">
        <v>-16488</v>
      </c>
      <c r="Y492" s="2">
        <v>-39846.04</v>
      </c>
      <c r="Z492" s="2">
        <v>82440.039999999994</v>
      </c>
      <c r="AA492">
        <v>0</v>
      </c>
    </row>
    <row r="493" spans="1:27" x14ac:dyDescent="0.35">
      <c r="A493">
        <v>2362</v>
      </c>
      <c r="B493">
        <v>0</v>
      </c>
      <c r="C493" s="1">
        <v>35804</v>
      </c>
      <c r="D493">
        <v>2</v>
      </c>
      <c r="E493" t="s">
        <v>20</v>
      </c>
      <c r="F493" t="s">
        <v>285</v>
      </c>
      <c r="G493" s="1">
        <v>35804</v>
      </c>
      <c r="H493" s="2">
        <v>53079.89</v>
      </c>
      <c r="I493" s="2">
        <f t="shared" si="7"/>
        <v>-53078.89</v>
      </c>
      <c r="J493">
        <v>1</v>
      </c>
      <c r="K493" t="s">
        <v>23</v>
      </c>
      <c r="L493">
        <v>10700040</v>
      </c>
      <c r="M493" t="s">
        <v>65</v>
      </c>
      <c r="N493">
        <v>20500</v>
      </c>
      <c r="O493" t="s">
        <v>42</v>
      </c>
      <c r="P493" t="s">
        <v>523</v>
      </c>
      <c r="Q493" t="s">
        <v>43</v>
      </c>
      <c r="R493">
        <v>164500</v>
      </c>
      <c r="S493" t="s">
        <v>63</v>
      </c>
      <c r="T493" s="2">
        <v>115910</v>
      </c>
      <c r="U493">
        <v>0</v>
      </c>
      <c r="V493" s="2">
        <v>-43467</v>
      </c>
      <c r="W493">
        <v>0</v>
      </c>
      <c r="X493" s="2">
        <v>-43467</v>
      </c>
      <c r="Y493" s="2">
        <v>-101422.5</v>
      </c>
      <c r="Z493" s="2">
        <v>217332.5</v>
      </c>
      <c r="AA493">
        <v>0</v>
      </c>
    </row>
    <row r="494" spans="1:27" x14ac:dyDescent="0.35">
      <c r="A494">
        <v>2673</v>
      </c>
      <c r="B494">
        <v>0</v>
      </c>
      <c r="C494" s="1">
        <v>35982</v>
      </c>
      <c r="D494">
        <v>1</v>
      </c>
      <c r="E494" t="s">
        <v>20</v>
      </c>
      <c r="F494" t="s">
        <v>298</v>
      </c>
      <c r="G494" s="1">
        <v>35982</v>
      </c>
      <c r="H494" s="2">
        <v>5890.91</v>
      </c>
      <c r="I494" s="2">
        <f t="shared" si="7"/>
        <v>-5889.91</v>
      </c>
      <c r="J494">
        <v>1</v>
      </c>
      <c r="K494" t="s">
        <v>23</v>
      </c>
      <c r="L494">
        <v>10700040</v>
      </c>
      <c r="M494" t="s">
        <v>65</v>
      </c>
      <c r="N494">
        <v>20500</v>
      </c>
      <c r="O494" t="s">
        <v>42</v>
      </c>
      <c r="P494" t="s">
        <v>523</v>
      </c>
      <c r="Q494" t="s">
        <v>43</v>
      </c>
      <c r="R494">
        <v>164500</v>
      </c>
      <c r="S494" t="s">
        <v>63</v>
      </c>
      <c r="T494" s="2">
        <v>53923</v>
      </c>
      <c r="U494">
        <v>0</v>
      </c>
      <c r="V494" s="2">
        <v>-17975</v>
      </c>
      <c r="W494">
        <v>0</v>
      </c>
      <c r="X494" s="2">
        <v>-17975</v>
      </c>
      <c r="Y494" s="2">
        <v>-35950.33</v>
      </c>
      <c r="Z494" s="2">
        <v>89873.33</v>
      </c>
      <c r="AA494">
        <v>0</v>
      </c>
    </row>
    <row r="495" spans="1:27" x14ac:dyDescent="0.35">
      <c r="A495">
        <v>2672</v>
      </c>
      <c r="B495">
        <v>0</v>
      </c>
      <c r="C495" s="1">
        <v>35987</v>
      </c>
      <c r="D495">
        <v>1</v>
      </c>
      <c r="E495" t="s">
        <v>20</v>
      </c>
      <c r="F495" t="s">
        <v>300</v>
      </c>
      <c r="G495" s="1">
        <v>35987</v>
      </c>
      <c r="H495" s="2">
        <v>17227.27</v>
      </c>
      <c r="I495" s="2">
        <f t="shared" si="7"/>
        <v>-17226.27</v>
      </c>
      <c r="J495">
        <v>1</v>
      </c>
      <c r="K495" t="s">
        <v>23</v>
      </c>
      <c r="L495">
        <v>10700040</v>
      </c>
      <c r="M495" t="s">
        <v>65</v>
      </c>
      <c r="N495">
        <v>20500</v>
      </c>
      <c r="O495" t="s">
        <v>42</v>
      </c>
      <c r="P495" t="s">
        <v>523</v>
      </c>
      <c r="Q495" t="s">
        <v>43</v>
      </c>
      <c r="R495">
        <v>164500</v>
      </c>
      <c r="S495" t="s">
        <v>63</v>
      </c>
      <c r="T495" s="2">
        <v>178544</v>
      </c>
      <c r="U495">
        <v>0</v>
      </c>
      <c r="V495" s="2">
        <v>-51013</v>
      </c>
      <c r="W495">
        <v>0</v>
      </c>
      <c r="X495" s="2">
        <v>-51013</v>
      </c>
      <c r="Y495" s="2">
        <v>-76519.5</v>
      </c>
      <c r="Z495" s="2">
        <v>255063.5</v>
      </c>
      <c r="AA495">
        <v>0</v>
      </c>
    </row>
    <row r="496" spans="1:27" x14ac:dyDescent="0.35">
      <c r="A496">
        <v>2671</v>
      </c>
      <c r="B496">
        <v>0</v>
      </c>
      <c r="C496" s="1">
        <v>36739</v>
      </c>
      <c r="D496">
        <v>1</v>
      </c>
      <c r="E496" t="s">
        <v>20</v>
      </c>
      <c r="F496" t="s">
        <v>322</v>
      </c>
      <c r="G496" s="1">
        <v>36739</v>
      </c>
      <c r="H496" s="2">
        <v>52886.36</v>
      </c>
      <c r="I496" s="2">
        <f t="shared" si="7"/>
        <v>-52885.36</v>
      </c>
      <c r="J496">
        <v>1</v>
      </c>
      <c r="K496" t="s">
        <v>23</v>
      </c>
      <c r="L496">
        <v>10700040</v>
      </c>
      <c r="M496" t="s">
        <v>65</v>
      </c>
      <c r="N496">
        <v>20500</v>
      </c>
      <c r="O496" t="s">
        <v>42</v>
      </c>
      <c r="P496" t="s">
        <v>523</v>
      </c>
      <c r="Q496" t="s">
        <v>43</v>
      </c>
      <c r="R496">
        <v>164500</v>
      </c>
      <c r="S496" t="s">
        <v>63</v>
      </c>
      <c r="T496" s="2">
        <v>623333</v>
      </c>
      <c r="U496">
        <v>0</v>
      </c>
      <c r="V496" s="2">
        <v>-170000</v>
      </c>
      <c r="W496">
        <v>0</v>
      </c>
      <c r="X496" s="2">
        <v>-170000</v>
      </c>
      <c r="Y496" s="2">
        <v>-226667</v>
      </c>
      <c r="Z496" s="2">
        <v>850000</v>
      </c>
      <c r="AA496">
        <v>0</v>
      </c>
    </row>
    <row r="497" spans="1:27" x14ac:dyDescent="0.35">
      <c r="A497">
        <v>2670</v>
      </c>
      <c r="B497">
        <v>0</v>
      </c>
      <c r="C497" s="1">
        <v>36806</v>
      </c>
      <c r="D497">
        <v>1</v>
      </c>
      <c r="E497" t="s">
        <v>20</v>
      </c>
      <c r="F497" t="s">
        <v>328</v>
      </c>
      <c r="G497" s="1">
        <v>36806</v>
      </c>
      <c r="H497" s="2">
        <v>7863.64</v>
      </c>
      <c r="I497" s="2">
        <f t="shared" si="7"/>
        <v>-7862.64</v>
      </c>
      <c r="J497">
        <v>1</v>
      </c>
      <c r="K497" t="s">
        <v>23</v>
      </c>
      <c r="L497">
        <v>10700040</v>
      </c>
      <c r="M497" t="s">
        <v>65</v>
      </c>
      <c r="N497">
        <v>20500</v>
      </c>
      <c r="O497" t="s">
        <v>42</v>
      </c>
      <c r="P497" t="s">
        <v>523</v>
      </c>
      <c r="Q497" t="s">
        <v>43</v>
      </c>
      <c r="R497">
        <v>164500</v>
      </c>
      <c r="S497" t="s">
        <v>63</v>
      </c>
      <c r="T497" s="2">
        <v>90315</v>
      </c>
      <c r="U497">
        <v>0</v>
      </c>
      <c r="V497" s="2">
        <v>-23561</v>
      </c>
      <c r="W497">
        <v>0</v>
      </c>
      <c r="X497" s="2">
        <v>-23561</v>
      </c>
      <c r="Y497" s="2">
        <v>-27488.23</v>
      </c>
      <c r="Z497" s="2">
        <v>117803.23</v>
      </c>
      <c r="AA497">
        <v>0</v>
      </c>
    </row>
    <row r="498" spans="1:27" x14ac:dyDescent="0.35">
      <c r="A498">
        <v>2271</v>
      </c>
      <c r="B498">
        <v>0</v>
      </c>
      <c r="C498" s="1">
        <v>37039</v>
      </c>
      <c r="D498">
        <v>15</v>
      </c>
      <c r="E498" t="s">
        <v>20</v>
      </c>
      <c r="F498" t="s">
        <v>336</v>
      </c>
      <c r="G498" s="1">
        <v>37043</v>
      </c>
      <c r="H498" s="2">
        <v>75556.320000000007</v>
      </c>
      <c r="I498" s="2">
        <f t="shared" si="7"/>
        <v>-75555.320000000007</v>
      </c>
      <c r="J498">
        <v>1</v>
      </c>
      <c r="K498" t="s">
        <v>23</v>
      </c>
      <c r="L498">
        <v>10700040</v>
      </c>
      <c r="M498" t="s">
        <v>65</v>
      </c>
      <c r="N498">
        <v>20500</v>
      </c>
      <c r="O498" t="s">
        <v>42</v>
      </c>
      <c r="P498" t="s">
        <v>523</v>
      </c>
      <c r="Q498" t="s">
        <v>43</v>
      </c>
      <c r="R498">
        <v>164500</v>
      </c>
      <c r="S498" t="s">
        <v>63</v>
      </c>
      <c r="T498" s="2">
        <v>826474</v>
      </c>
      <c r="U498">
        <v>0</v>
      </c>
      <c r="V498" s="2">
        <v>-211015</v>
      </c>
      <c r="W498">
        <v>0</v>
      </c>
      <c r="X498" s="2">
        <v>-211015</v>
      </c>
      <c r="Y498" s="2">
        <v>-228600</v>
      </c>
      <c r="Z498" s="2">
        <v>1055074</v>
      </c>
      <c r="AA498">
        <v>0</v>
      </c>
    </row>
    <row r="499" spans="1:27" x14ac:dyDescent="0.35">
      <c r="A499">
        <v>2266</v>
      </c>
      <c r="B499">
        <v>0</v>
      </c>
      <c r="C499" s="1">
        <v>37184</v>
      </c>
      <c r="D499">
        <v>1</v>
      </c>
      <c r="E499" t="s">
        <v>20</v>
      </c>
      <c r="F499" t="s">
        <v>338</v>
      </c>
      <c r="G499" s="1">
        <v>37196</v>
      </c>
      <c r="H499" s="2">
        <v>7272.73</v>
      </c>
      <c r="I499" s="2">
        <f t="shared" si="7"/>
        <v>-7271.73</v>
      </c>
      <c r="J499">
        <v>1</v>
      </c>
      <c r="K499" t="s">
        <v>23</v>
      </c>
      <c r="L499">
        <v>10700040</v>
      </c>
      <c r="M499" t="s">
        <v>65</v>
      </c>
      <c r="N499">
        <v>20500</v>
      </c>
      <c r="O499" t="s">
        <v>42</v>
      </c>
      <c r="P499" t="s">
        <v>523</v>
      </c>
      <c r="Q499" t="s">
        <v>43</v>
      </c>
      <c r="R499">
        <v>164500</v>
      </c>
      <c r="S499" t="s">
        <v>63</v>
      </c>
      <c r="T499" s="2">
        <v>120366</v>
      </c>
      <c r="U499">
        <v>0</v>
      </c>
      <c r="V499" s="2">
        <v>-31400</v>
      </c>
      <c r="W499">
        <v>0</v>
      </c>
      <c r="X499" s="2">
        <v>-31400</v>
      </c>
      <c r="Y499" s="2">
        <v>-36634</v>
      </c>
      <c r="Z499" s="2">
        <v>157000</v>
      </c>
      <c r="AA499">
        <v>0</v>
      </c>
    </row>
    <row r="500" spans="1:27" x14ac:dyDescent="0.35">
      <c r="A500">
        <v>2277</v>
      </c>
      <c r="B500">
        <v>0</v>
      </c>
      <c r="C500" s="1">
        <v>37608</v>
      </c>
      <c r="D500">
        <v>2</v>
      </c>
      <c r="E500" t="s">
        <v>20</v>
      </c>
      <c r="F500" t="s">
        <v>348</v>
      </c>
      <c r="G500" s="1">
        <v>37622</v>
      </c>
      <c r="H500" s="2">
        <v>31943.64</v>
      </c>
      <c r="I500" s="2">
        <f t="shared" si="7"/>
        <v>-31942.639999999999</v>
      </c>
      <c r="J500">
        <v>1</v>
      </c>
      <c r="K500" t="s">
        <v>23</v>
      </c>
      <c r="L500">
        <v>10700040</v>
      </c>
      <c r="M500" t="s">
        <v>65</v>
      </c>
      <c r="N500">
        <v>20500</v>
      </c>
      <c r="O500" t="s">
        <v>42</v>
      </c>
      <c r="P500" t="s">
        <v>523</v>
      </c>
      <c r="Q500" t="s">
        <v>43</v>
      </c>
      <c r="R500">
        <v>164500</v>
      </c>
      <c r="S500" t="s">
        <v>63</v>
      </c>
      <c r="T500" s="2">
        <v>193276</v>
      </c>
      <c r="U500">
        <v>0</v>
      </c>
      <c r="V500" s="2">
        <v>-46386</v>
      </c>
      <c r="W500">
        <v>0</v>
      </c>
      <c r="X500" s="2">
        <v>-46386</v>
      </c>
      <c r="Y500" s="2">
        <v>-38655</v>
      </c>
      <c r="Z500" s="2">
        <v>231931</v>
      </c>
      <c r="AA500">
        <v>0</v>
      </c>
    </row>
    <row r="501" spans="1:27" x14ac:dyDescent="0.35">
      <c r="A501">
        <v>2302</v>
      </c>
      <c r="B501">
        <v>0</v>
      </c>
      <c r="C501" s="1">
        <v>37705</v>
      </c>
      <c r="D501">
        <v>1</v>
      </c>
      <c r="E501" t="s">
        <v>20</v>
      </c>
      <c r="F501" t="s">
        <v>349</v>
      </c>
      <c r="G501" s="1">
        <v>37712</v>
      </c>
      <c r="H501" s="2">
        <v>70703.210000000006</v>
      </c>
      <c r="I501" s="2">
        <f t="shared" si="7"/>
        <v>-70702.210000000006</v>
      </c>
      <c r="J501">
        <v>1</v>
      </c>
      <c r="K501" t="s">
        <v>23</v>
      </c>
      <c r="L501">
        <v>10700040</v>
      </c>
      <c r="M501" t="s">
        <v>65</v>
      </c>
      <c r="N501">
        <v>20800</v>
      </c>
      <c r="O501" t="s">
        <v>41</v>
      </c>
      <c r="P501" t="s">
        <v>523</v>
      </c>
      <c r="Q501" t="s">
        <v>43</v>
      </c>
      <c r="R501">
        <v>164500</v>
      </c>
      <c r="S501" t="s">
        <v>63</v>
      </c>
      <c r="T501" s="2">
        <v>188839</v>
      </c>
      <c r="U501">
        <v>0</v>
      </c>
      <c r="V501" s="2">
        <v>-42756</v>
      </c>
      <c r="W501">
        <v>0</v>
      </c>
      <c r="X501" s="2">
        <v>-42756</v>
      </c>
      <c r="Y501" s="2">
        <v>-24941</v>
      </c>
      <c r="Z501" s="2">
        <v>213780</v>
      </c>
      <c r="AA501">
        <v>0</v>
      </c>
    </row>
    <row r="502" spans="1:27" x14ac:dyDescent="0.35">
      <c r="A502">
        <v>2296</v>
      </c>
      <c r="B502">
        <v>0</v>
      </c>
      <c r="C502" s="1">
        <v>37860</v>
      </c>
      <c r="D502">
        <v>1</v>
      </c>
      <c r="E502" t="s">
        <v>20</v>
      </c>
      <c r="F502" t="s">
        <v>351</v>
      </c>
      <c r="G502" s="1">
        <v>37865</v>
      </c>
      <c r="H502" s="2">
        <v>25000</v>
      </c>
      <c r="I502" s="2">
        <f t="shared" si="7"/>
        <v>-24999</v>
      </c>
      <c r="J502">
        <v>1</v>
      </c>
      <c r="K502" t="s">
        <v>23</v>
      </c>
      <c r="L502">
        <v>10700040</v>
      </c>
      <c r="M502" t="s">
        <v>65</v>
      </c>
      <c r="N502">
        <v>24000</v>
      </c>
      <c r="O502" t="s">
        <v>331</v>
      </c>
      <c r="P502" t="s">
        <v>523</v>
      </c>
      <c r="Q502" t="s">
        <v>332</v>
      </c>
      <c r="R502">
        <v>164500</v>
      </c>
      <c r="S502" t="s">
        <v>63</v>
      </c>
      <c r="T502" s="2">
        <v>100717</v>
      </c>
      <c r="U502">
        <v>0</v>
      </c>
      <c r="V502" s="2">
        <v>-21583</v>
      </c>
      <c r="W502">
        <v>0</v>
      </c>
      <c r="X502" s="2">
        <v>-21583</v>
      </c>
      <c r="Y502" s="2">
        <v>-7195.28</v>
      </c>
      <c r="Z502" s="2">
        <v>107912.28</v>
      </c>
      <c r="AA502">
        <v>0</v>
      </c>
    </row>
    <row r="503" spans="1:27" x14ac:dyDescent="0.35">
      <c r="A503">
        <v>2335</v>
      </c>
      <c r="B503">
        <v>0</v>
      </c>
      <c r="C503" s="1">
        <v>38750</v>
      </c>
      <c r="D503">
        <v>1</v>
      </c>
      <c r="E503" t="s">
        <v>20</v>
      </c>
      <c r="F503" t="s">
        <v>373</v>
      </c>
      <c r="G503" s="1">
        <v>38749</v>
      </c>
      <c r="H503" s="2">
        <v>25000</v>
      </c>
      <c r="I503" s="2">
        <f t="shared" si="7"/>
        <v>-24999</v>
      </c>
      <c r="J503">
        <v>1</v>
      </c>
      <c r="K503" t="s">
        <v>23</v>
      </c>
      <c r="L503">
        <v>10700040</v>
      </c>
      <c r="M503" t="s">
        <v>65</v>
      </c>
      <c r="N503">
        <v>20500</v>
      </c>
      <c r="O503" t="s">
        <v>42</v>
      </c>
      <c r="P503" t="s">
        <v>523</v>
      </c>
      <c r="Q503" t="s">
        <v>43</v>
      </c>
      <c r="R503">
        <v>164500</v>
      </c>
      <c r="S503" t="s">
        <v>63</v>
      </c>
      <c r="T503" s="2">
        <v>152000</v>
      </c>
      <c r="U503">
        <v>0</v>
      </c>
      <c r="V503" s="2">
        <v>-32000</v>
      </c>
      <c r="W503">
        <v>0</v>
      </c>
      <c r="X503" s="2">
        <v>-32000</v>
      </c>
      <c r="Y503" s="2">
        <v>-8000</v>
      </c>
      <c r="Z503" s="2">
        <v>160000</v>
      </c>
      <c r="AA503">
        <v>0</v>
      </c>
    </row>
    <row r="504" spans="1:27" x14ac:dyDescent="0.35">
      <c r="A504">
        <v>2343</v>
      </c>
      <c r="B504">
        <v>0</v>
      </c>
      <c r="C504" s="1">
        <v>39030</v>
      </c>
      <c r="F504" t="s">
        <v>379</v>
      </c>
      <c r="G504" s="1">
        <v>39022</v>
      </c>
      <c r="H504" s="2">
        <v>47800</v>
      </c>
      <c r="I504" s="2">
        <f t="shared" si="7"/>
        <v>-47799</v>
      </c>
      <c r="J504">
        <v>1</v>
      </c>
      <c r="K504" t="s">
        <v>23</v>
      </c>
      <c r="L504">
        <v>10700040</v>
      </c>
      <c r="M504" t="s">
        <v>65</v>
      </c>
      <c r="N504">
        <v>20800</v>
      </c>
      <c r="O504" t="s">
        <v>41</v>
      </c>
      <c r="P504" t="s">
        <v>523</v>
      </c>
      <c r="Q504" t="s">
        <v>43</v>
      </c>
      <c r="R504">
        <v>164500</v>
      </c>
      <c r="S504" t="s">
        <v>63</v>
      </c>
      <c r="T504" s="2">
        <v>94964</v>
      </c>
      <c r="U504">
        <v>0</v>
      </c>
      <c r="V504" s="2">
        <v>-19315</v>
      </c>
      <c r="W504">
        <v>0</v>
      </c>
      <c r="X504" s="2">
        <v>-19315</v>
      </c>
      <c r="Y504" s="2">
        <v>-1609.57</v>
      </c>
      <c r="Z504" s="2">
        <v>96573.57</v>
      </c>
      <c r="AA504">
        <v>0</v>
      </c>
    </row>
    <row r="505" spans="1:27" x14ac:dyDescent="0.35">
      <c r="A505">
        <v>2342</v>
      </c>
      <c r="B505">
        <v>0</v>
      </c>
      <c r="C505" s="1">
        <v>39045</v>
      </c>
      <c r="D505">
        <v>1</v>
      </c>
      <c r="E505" t="s">
        <v>20</v>
      </c>
      <c r="F505" t="s">
        <v>381</v>
      </c>
      <c r="G505" s="1">
        <v>39052</v>
      </c>
      <c r="H505" s="2">
        <v>14205.36</v>
      </c>
      <c r="I505" s="2">
        <f t="shared" si="7"/>
        <v>-14204.36</v>
      </c>
      <c r="J505">
        <v>1</v>
      </c>
      <c r="K505" t="s">
        <v>23</v>
      </c>
      <c r="L505">
        <v>10700040</v>
      </c>
      <c r="M505" t="s">
        <v>65</v>
      </c>
      <c r="N505">
        <v>20500</v>
      </c>
      <c r="O505" t="s">
        <v>42</v>
      </c>
      <c r="P505" t="s">
        <v>523</v>
      </c>
      <c r="Q505" t="s">
        <v>43</v>
      </c>
      <c r="R505">
        <v>164500</v>
      </c>
      <c r="S505" t="s">
        <v>63</v>
      </c>
      <c r="T505" s="2">
        <v>79994</v>
      </c>
      <c r="U505">
        <v>0</v>
      </c>
      <c r="V505" s="2">
        <v>-27427</v>
      </c>
      <c r="W505">
        <v>0</v>
      </c>
      <c r="X505" s="2">
        <v>-27427</v>
      </c>
      <c r="Y505" s="2">
        <v>-2285.9</v>
      </c>
      <c r="Z505" s="2">
        <v>82279.899999999994</v>
      </c>
      <c r="AA505">
        <v>0</v>
      </c>
    </row>
    <row r="506" spans="1:27" x14ac:dyDescent="0.35">
      <c r="A506">
        <v>2940</v>
      </c>
      <c r="B506">
        <v>0</v>
      </c>
      <c r="C506" s="1">
        <v>41152</v>
      </c>
      <c r="D506">
        <v>1</v>
      </c>
      <c r="E506" t="s">
        <v>20</v>
      </c>
      <c r="F506" t="s">
        <v>396</v>
      </c>
      <c r="G506" s="1">
        <v>41153</v>
      </c>
      <c r="H506" s="2">
        <v>47767.86</v>
      </c>
      <c r="I506" s="2">
        <f t="shared" si="7"/>
        <v>-47766.86</v>
      </c>
      <c r="J506">
        <v>1</v>
      </c>
      <c r="K506" t="s">
        <v>23</v>
      </c>
      <c r="L506">
        <v>10700040</v>
      </c>
      <c r="M506" t="s">
        <v>65</v>
      </c>
      <c r="N506">
        <v>20500</v>
      </c>
      <c r="O506" t="s">
        <v>42</v>
      </c>
      <c r="P506" t="s">
        <v>523</v>
      </c>
      <c r="Q506" t="s">
        <v>43</v>
      </c>
      <c r="R506">
        <v>164500</v>
      </c>
      <c r="S506" t="s">
        <v>63</v>
      </c>
      <c r="T506" s="2">
        <v>79994</v>
      </c>
      <c r="U506">
        <v>0</v>
      </c>
      <c r="V506" s="2">
        <v>-27427</v>
      </c>
      <c r="W506">
        <v>0</v>
      </c>
      <c r="X506" s="2">
        <v>-27427</v>
      </c>
      <c r="Y506" s="2">
        <v>-2285.9</v>
      </c>
      <c r="Z506" s="2">
        <v>82279.899999999994</v>
      </c>
      <c r="AA506">
        <v>0</v>
      </c>
    </row>
    <row r="507" spans="1:27" x14ac:dyDescent="0.35">
      <c r="A507">
        <v>3068</v>
      </c>
      <c r="B507">
        <v>0</v>
      </c>
      <c r="C507" s="1">
        <v>41455</v>
      </c>
      <c r="D507">
        <v>1</v>
      </c>
      <c r="E507" t="s">
        <v>334</v>
      </c>
      <c r="F507" t="s">
        <v>408</v>
      </c>
      <c r="G507" s="1">
        <v>41426</v>
      </c>
      <c r="H507" s="2">
        <v>14008.24</v>
      </c>
      <c r="I507" s="2">
        <f t="shared" si="7"/>
        <v>-14007.24</v>
      </c>
      <c r="J507">
        <v>1</v>
      </c>
      <c r="K507" t="s">
        <v>23</v>
      </c>
      <c r="L507">
        <v>10700040</v>
      </c>
      <c r="M507" t="s">
        <v>65</v>
      </c>
      <c r="N507">
        <v>20500</v>
      </c>
      <c r="O507" t="s">
        <v>42</v>
      </c>
      <c r="P507" t="s">
        <v>523</v>
      </c>
      <c r="Q507" t="s">
        <v>43</v>
      </c>
      <c r="R507">
        <v>164500</v>
      </c>
      <c r="S507" t="s">
        <v>63</v>
      </c>
      <c r="T507" s="2">
        <v>73750</v>
      </c>
      <c r="U507">
        <v>0</v>
      </c>
      <c r="V507" s="2">
        <v>-15000</v>
      </c>
      <c r="W507">
        <v>0</v>
      </c>
      <c r="X507" s="2">
        <v>-15000</v>
      </c>
      <c r="Y507" s="2">
        <v>-1250</v>
      </c>
      <c r="Z507" s="2">
        <v>75000</v>
      </c>
      <c r="AA507">
        <v>0</v>
      </c>
    </row>
    <row r="508" spans="1:27" x14ac:dyDescent="0.35">
      <c r="A508">
        <v>3104</v>
      </c>
      <c r="B508">
        <v>0</v>
      </c>
      <c r="C508" s="1">
        <v>41547</v>
      </c>
      <c r="D508">
        <v>1</v>
      </c>
      <c r="E508" t="s">
        <v>334</v>
      </c>
      <c r="F508" t="s">
        <v>414</v>
      </c>
      <c r="G508" s="1">
        <v>41548</v>
      </c>
      <c r="H508" s="2">
        <v>18050</v>
      </c>
      <c r="I508" s="2">
        <f t="shared" si="7"/>
        <v>-18049</v>
      </c>
      <c r="J508">
        <v>1</v>
      </c>
      <c r="K508" t="s">
        <v>23</v>
      </c>
      <c r="L508">
        <v>10700040</v>
      </c>
      <c r="M508" t="s">
        <v>65</v>
      </c>
      <c r="N508">
        <v>20500</v>
      </c>
      <c r="O508" t="s">
        <v>42</v>
      </c>
      <c r="P508" t="s">
        <v>523</v>
      </c>
      <c r="Q508" t="s">
        <v>415</v>
      </c>
      <c r="R508">
        <v>164500</v>
      </c>
      <c r="S508" t="s">
        <v>63</v>
      </c>
      <c r="T508">
        <v>0</v>
      </c>
      <c r="U508" s="2">
        <v>82133.929999999993</v>
      </c>
      <c r="V508" s="2">
        <v>-10951.93</v>
      </c>
      <c r="W508">
        <v>0</v>
      </c>
      <c r="X508" s="2">
        <v>-10951.93</v>
      </c>
      <c r="Y508">
        <v>0</v>
      </c>
      <c r="Z508">
        <v>0</v>
      </c>
      <c r="AA508">
        <v>0</v>
      </c>
    </row>
    <row r="509" spans="1:27" x14ac:dyDescent="0.35">
      <c r="A509">
        <v>3105</v>
      </c>
      <c r="B509">
        <v>0</v>
      </c>
      <c r="C509" s="1">
        <v>41547</v>
      </c>
      <c r="D509">
        <v>1</v>
      </c>
      <c r="E509" t="s">
        <v>334</v>
      </c>
      <c r="F509" t="s">
        <v>414</v>
      </c>
      <c r="G509" s="1">
        <v>41548</v>
      </c>
      <c r="H509" s="2">
        <v>18050</v>
      </c>
      <c r="I509" s="2">
        <f t="shared" si="7"/>
        <v>-18049</v>
      </c>
      <c r="J509">
        <v>1</v>
      </c>
      <c r="K509" t="s">
        <v>23</v>
      </c>
      <c r="L509">
        <v>10700040</v>
      </c>
      <c r="M509" t="s">
        <v>65</v>
      </c>
      <c r="N509">
        <v>20500</v>
      </c>
      <c r="O509" t="s">
        <v>42</v>
      </c>
      <c r="P509" t="s">
        <v>523</v>
      </c>
      <c r="Q509" t="s">
        <v>415</v>
      </c>
      <c r="R509">
        <v>164500</v>
      </c>
      <c r="S509" t="s">
        <v>63</v>
      </c>
      <c r="T509">
        <v>0</v>
      </c>
      <c r="U509" s="2">
        <v>231931</v>
      </c>
      <c r="V509" s="2">
        <v>-69579</v>
      </c>
      <c r="W509" s="2">
        <v>-54117</v>
      </c>
      <c r="X509" s="2">
        <v>-15462</v>
      </c>
      <c r="Y509">
        <v>0</v>
      </c>
      <c r="Z509">
        <v>0</v>
      </c>
      <c r="AA509">
        <v>0</v>
      </c>
    </row>
    <row r="510" spans="1:27" x14ac:dyDescent="0.35">
      <c r="A510">
        <v>3119</v>
      </c>
      <c r="B510">
        <v>0</v>
      </c>
      <c r="C510" s="1">
        <v>41578</v>
      </c>
      <c r="D510">
        <v>1</v>
      </c>
      <c r="E510" t="s">
        <v>389</v>
      </c>
      <c r="F510" t="s">
        <v>417</v>
      </c>
      <c r="G510" s="1">
        <v>41579</v>
      </c>
      <c r="H510" s="2">
        <v>150350</v>
      </c>
      <c r="I510" s="2">
        <f t="shared" si="7"/>
        <v>-150349</v>
      </c>
      <c r="J510">
        <v>1</v>
      </c>
      <c r="K510" t="s">
        <v>23</v>
      </c>
      <c r="L510">
        <v>10700040</v>
      </c>
      <c r="M510" t="s">
        <v>65</v>
      </c>
      <c r="N510">
        <v>20900</v>
      </c>
      <c r="O510" t="s">
        <v>39</v>
      </c>
      <c r="P510" t="s">
        <v>523</v>
      </c>
      <c r="Q510" t="s">
        <v>31</v>
      </c>
      <c r="R510">
        <v>164500</v>
      </c>
      <c r="S510" t="s">
        <v>63</v>
      </c>
      <c r="T510">
        <v>0</v>
      </c>
      <c r="U510" s="2">
        <v>109658.93</v>
      </c>
      <c r="V510" s="2">
        <v>-14621.93</v>
      </c>
      <c r="W510">
        <v>0</v>
      </c>
      <c r="X510" s="2">
        <v>-14621.93</v>
      </c>
      <c r="Y510">
        <v>0</v>
      </c>
      <c r="Z510">
        <v>0</v>
      </c>
      <c r="AA510">
        <v>0</v>
      </c>
    </row>
    <row r="511" spans="1:27" x14ac:dyDescent="0.35">
      <c r="A511">
        <v>3120</v>
      </c>
      <c r="B511">
        <v>0</v>
      </c>
      <c r="C511" s="1">
        <v>41578</v>
      </c>
      <c r="D511">
        <v>1</v>
      </c>
      <c r="E511" t="s">
        <v>389</v>
      </c>
      <c r="F511" t="s">
        <v>418</v>
      </c>
      <c r="G511" s="1">
        <v>41579</v>
      </c>
      <c r="H511" s="2">
        <v>169750</v>
      </c>
      <c r="I511" s="2">
        <f t="shared" si="7"/>
        <v>-169749</v>
      </c>
      <c r="J511">
        <v>1</v>
      </c>
      <c r="K511" t="s">
        <v>23</v>
      </c>
      <c r="L511">
        <v>10700040</v>
      </c>
      <c r="M511" t="s">
        <v>65</v>
      </c>
      <c r="N511">
        <v>20900</v>
      </c>
      <c r="O511" t="s">
        <v>39</v>
      </c>
      <c r="P511" t="s">
        <v>523</v>
      </c>
      <c r="Q511" t="s">
        <v>31</v>
      </c>
      <c r="R511">
        <v>164500</v>
      </c>
      <c r="S511" t="s">
        <v>63</v>
      </c>
      <c r="T511">
        <v>0</v>
      </c>
      <c r="U511" s="2">
        <v>96030</v>
      </c>
      <c r="V511" s="2">
        <v>-8003</v>
      </c>
      <c r="W511">
        <v>0</v>
      </c>
      <c r="X511" s="2">
        <v>-8003</v>
      </c>
      <c r="Y511">
        <v>0</v>
      </c>
      <c r="Z511">
        <v>0</v>
      </c>
      <c r="AA511">
        <v>0</v>
      </c>
    </row>
    <row r="512" spans="1:27" x14ac:dyDescent="0.35">
      <c r="A512">
        <v>3178</v>
      </c>
      <c r="B512">
        <v>0</v>
      </c>
      <c r="C512" s="1">
        <v>41729</v>
      </c>
      <c r="D512">
        <v>1</v>
      </c>
      <c r="E512" t="s">
        <v>334</v>
      </c>
      <c r="F512" t="s">
        <v>421</v>
      </c>
      <c r="G512" s="1">
        <v>41730</v>
      </c>
      <c r="H512" s="2">
        <v>13500</v>
      </c>
      <c r="I512" s="2">
        <f t="shared" si="7"/>
        <v>-13499</v>
      </c>
      <c r="J512">
        <v>1</v>
      </c>
      <c r="K512" t="s">
        <v>23</v>
      </c>
      <c r="L512">
        <v>10700040</v>
      </c>
      <c r="M512" t="s">
        <v>65</v>
      </c>
      <c r="N512">
        <v>20500</v>
      </c>
      <c r="O512" t="s">
        <v>42</v>
      </c>
      <c r="P512" t="s">
        <v>523</v>
      </c>
      <c r="Q512" t="s">
        <v>43</v>
      </c>
      <c r="R512">
        <v>164500</v>
      </c>
      <c r="S512" t="s">
        <v>63</v>
      </c>
      <c r="T512">
        <v>0</v>
      </c>
      <c r="U512" s="2">
        <v>96030</v>
      </c>
      <c r="V512" s="2">
        <v>-8003</v>
      </c>
      <c r="W512">
        <v>0</v>
      </c>
      <c r="X512" s="2">
        <v>-8003</v>
      </c>
      <c r="Y512">
        <v>0</v>
      </c>
      <c r="Z512">
        <v>0</v>
      </c>
      <c r="AA512">
        <v>0</v>
      </c>
    </row>
    <row r="513" spans="1:27" x14ac:dyDescent="0.35">
      <c r="A513">
        <v>3263</v>
      </c>
      <c r="B513">
        <v>0</v>
      </c>
      <c r="C513" s="1">
        <v>41912</v>
      </c>
      <c r="D513">
        <v>1</v>
      </c>
      <c r="E513" t="s">
        <v>334</v>
      </c>
      <c r="F513" t="s">
        <v>431</v>
      </c>
      <c r="G513" s="1">
        <v>41883</v>
      </c>
      <c r="H513" s="2">
        <v>13500</v>
      </c>
      <c r="I513" s="2">
        <f t="shared" si="7"/>
        <v>-13499</v>
      </c>
      <c r="J513">
        <v>1</v>
      </c>
      <c r="K513" t="s">
        <v>23</v>
      </c>
      <c r="L513">
        <v>10700040</v>
      </c>
      <c r="M513" t="s">
        <v>65</v>
      </c>
      <c r="N513">
        <v>20500</v>
      </c>
      <c r="O513" t="s">
        <v>42</v>
      </c>
      <c r="P513" t="s">
        <v>523</v>
      </c>
      <c r="Q513" t="s">
        <v>43</v>
      </c>
      <c r="R513">
        <v>164500</v>
      </c>
      <c r="S513" t="s">
        <v>63</v>
      </c>
      <c r="T513">
        <v>0</v>
      </c>
      <c r="U513" s="2">
        <v>62852.68</v>
      </c>
      <c r="V513" s="2">
        <v>-4190.68</v>
      </c>
      <c r="W513">
        <v>0</v>
      </c>
      <c r="X513" s="2">
        <v>-4190.68</v>
      </c>
      <c r="Y513">
        <v>0</v>
      </c>
      <c r="Z513">
        <v>0</v>
      </c>
      <c r="AA513">
        <v>0</v>
      </c>
    </row>
    <row r="514" spans="1:27" x14ac:dyDescent="0.35">
      <c r="A514">
        <v>3269</v>
      </c>
      <c r="B514">
        <v>0</v>
      </c>
      <c r="C514" s="1">
        <v>41912</v>
      </c>
      <c r="D514">
        <v>1</v>
      </c>
      <c r="E514" t="s">
        <v>334</v>
      </c>
      <c r="F514" t="s">
        <v>433</v>
      </c>
      <c r="G514" s="1">
        <v>41913</v>
      </c>
      <c r="H514" s="2">
        <v>13000</v>
      </c>
      <c r="I514" s="2">
        <f t="shared" ref="I514:I532" si="8">J514-H514</f>
        <v>-12999</v>
      </c>
      <c r="J514">
        <v>1</v>
      </c>
      <c r="K514" t="s">
        <v>23</v>
      </c>
      <c r="L514">
        <v>10700040</v>
      </c>
      <c r="M514" t="s">
        <v>65</v>
      </c>
      <c r="N514">
        <v>20500</v>
      </c>
      <c r="O514" t="s">
        <v>42</v>
      </c>
      <c r="P514" t="s">
        <v>523</v>
      </c>
      <c r="Q514" t="s">
        <v>43</v>
      </c>
      <c r="R514">
        <v>164500</v>
      </c>
      <c r="S514" t="s">
        <v>63</v>
      </c>
      <c r="T514">
        <v>0</v>
      </c>
      <c r="U514" s="2">
        <v>387319</v>
      </c>
      <c r="V514" s="2">
        <v>-32277</v>
      </c>
      <c r="W514">
        <v>0</v>
      </c>
      <c r="X514" s="2">
        <v>-32277</v>
      </c>
      <c r="Y514">
        <v>0</v>
      </c>
      <c r="Z514">
        <v>0</v>
      </c>
      <c r="AA514">
        <v>0</v>
      </c>
    </row>
    <row r="515" spans="1:27" x14ac:dyDescent="0.35">
      <c r="A515">
        <v>3388</v>
      </c>
      <c r="B515">
        <v>0</v>
      </c>
      <c r="C515" s="1">
        <v>42155</v>
      </c>
      <c r="D515">
        <v>1</v>
      </c>
      <c r="E515" t="s">
        <v>334</v>
      </c>
      <c r="F515" t="s">
        <v>451</v>
      </c>
      <c r="G515" s="1">
        <v>42125</v>
      </c>
      <c r="H515" s="2">
        <v>103000</v>
      </c>
      <c r="I515" s="2">
        <f t="shared" si="8"/>
        <v>-102999</v>
      </c>
      <c r="J515">
        <v>1</v>
      </c>
      <c r="K515" t="s">
        <v>23</v>
      </c>
      <c r="L515">
        <v>10700040</v>
      </c>
      <c r="M515" t="s">
        <v>65</v>
      </c>
      <c r="N515">
        <v>20900</v>
      </c>
      <c r="O515" t="s">
        <v>39</v>
      </c>
      <c r="P515" t="s">
        <v>523</v>
      </c>
      <c r="Q515" t="s">
        <v>40</v>
      </c>
      <c r="R515">
        <v>164500</v>
      </c>
      <c r="S515" t="s">
        <v>63</v>
      </c>
      <c r="T515">
        <v>0</v>
      </c>
      <c r="U515" s="2">
        <v>2515909.7999999998</v>
      </c>
      <c r="V515" s="2">
        <v>-125795.8</v>
      </c>
      <c r="W515">
        <v>0</v>
      </c>
      <c r="X515" s="2">
        <v>-125795.8</v>
      </c>
      <c r="Y515">
        <v>0</v>
      </c>
      <c r="Z515">
        <v>0</v>
      </c>
      <c r="AA515">
        <v>0</v>
      </c>
    </row>
    <row r="516" spans="1:27" x14ac:dyDescent="0.35">
      <c r="A516">
        <v>3393</v>
      </c>
      <c r="B516">
        <v>0</v>
      </c>
      <c r="C516" s="1">
        <v>42155</v>
      </c>
      <c r="D516">
        <v>1</v>
      </c>
      <c r="E516" t="s">
        <v>389</v>
      </c>
      <c r="F516" t="s">
        <v>454</v>
      </c>
      <c r="G516" s="1">
        <v>42156</v>
      </c>
      <c r="H516" s="2">
        <v>407190</v>
      </c>
      <c r="I516" s="2">
        <f t="shared" si="8"/>
        <v>-407189</v>
      </c>
      <c r="J516">
        <v>1</v>
      </c>
      <c r="K516" t="s">
        <v>23</v>
      </c>
      <c r="L516">
        <v>10700040</v>
      </c>
      <c r="M516" t="s">
        <v>65</v>
      </c>
      <c r="N516">
        <v>20900</v>
      </c>
      <c r="O516" t="s">
        <v>39</v>
      </c>
      <c r="P516" t="s">
        <v>523</v>
      </c>
      <c r="Q516" t="s">
        <v>40</v>
      </c>
      <c r="R516">
        <v>164500</v>
      </c>
      <c r="S516" t="s">
        <v>63</v>
      </c>
      <c r="T516">
        <v>0</v>
      </c>
      <c r="U516" s="2">
        <v>149470</v>
      </c>
      <c r="V516" s="2">
        <v>-7474</v>
      </c>
      <c r="W516">
        <v>0</v>
      </c>
      <c r="X516" s="2">
        <v>-7474</v>
      </c>
      <c r="Y516">
        <v>0</v>
      </c>
      <c r="Z516">
        <v>0</v>
      </c>
      <c r="AA516">
        <v>0</v>
      </c>
    </row>
    <row r="517" spans="1:27" x14ac:dyDescent="0.35">
      <c r="A517">
        <v>3394</v>
      </c>
      <c r="B517">
        <v>0</v>
      </c>
      <c r="C517" s="1">
        <v>42155</v>
      </c>
      <c r="D517">
        <v>1</v>
      </c>
      <c r="E517" t="s">
        <v>389</v>
      </c>
      <c r="F517" t="s">
        <v>454</v>
      </c>
      <c r="G517" s="1">
        <v>42156</v>
      </c>
      <c r="H517" s="2">
        <v>407190</v>
      </c>
      <c r="I517" s="2">
        <f t="shared" si="8"/>
        <v>-407190</v>
      </c>
      <c r="J517">
        <v>0</v>
      </c>
      <c r="K517" t="s">
        <v>23</v>
      </c>
      <c r="L517">
        <v>10700040</v>
      </c>
      <c r="M517" t="s">
        <v>65</v>
      </c>
      <c r="N517">
        <v>20600</v>
      </c>
      <c r="O517" t="s">
        <v>59</v>
      </c>
      <c r="P517" t="s">
        <v>523</v>
      </c>
      <c r="Q517" t="s">
        <v>59</v>
      </c>
      <c r="R517">
        <v>164500</v>
      </c>
      <c r="S517" t="s">
        <v>63</v>
      </c>
      <c r="T517">
        <v>0</v>
      </c>
      <c r="U517" s="2">
        <v>74300</v>
      </c>
      <c r="V517" s="2">
        <v>-1239</v>
      </c>
      <c r="W517">
        <v>0</v>
      </c>
      <c r="X517" s="2">
        <v>-1239</v>
      </c>
      <c r="Y517">
        <v>0</v>
      </c>
      <c r="Z517">
        <v>0</v>
      </c>
      <c r="AA517">
        <v>0</v>
      </c>
    </row>
    <row r="518" spans="1:27" x14ac:dyDescent="0.35">
      <c r="A518">
        <v>3405</v>
      </c>
      <c r="B518">
        <v>0</v>
      </c>
      <c r="C518" s="1">
        <v>42185</v>
      </c>
      <c r="D518">
        <v>1</v>
      </c>
      <c r="E518" t="s">
        <v>334</v>
      </c>
      <c r="F518" t="s">
        <v>455</v>
      </c>
      <c r="G518" s="1">
        <v>42156</v>
      </c>
      <c r="H518" s="2">
        <v>13287.5</v>
      </c>
      <c r="I518" s="2">
        <f t="shared" si="8"/>
        <v>-13286.5</v>
      </c>
      <c r="J518">
        <v>1</v>
      </c>
      <c r="K518" t="s">
        <v>23</v>
      </c>
      <c r="L518">
        <v>10700040</v>
      </c>
      <c r="M518" t="s">
        <v>65</v>
      </c>
      <c r="N518">
        <v>20500</v>
      </c>
      <c r="O518" t="s">
        <v>42</v>
      </c>
      <c r="P518" t="s">
        <v>523</v>
      </c>
      <c r="Q518" t="s">
        <v>43</v>
      </c>
      <c r="R518">
        <v>164500</v>
      </c>
      <c r="S518" t="s">
        <v>63</v>
      </c>
      <c r="T518">
        <v>0</v>
      </c>
      <c r="U518" s="2">
        <v>74300</v>
      </c>
      <c r="V518" s="2">
        <v>-1239</v>
      </c>
      <c r="W518">
        <v>0</v>
      </c>
      <c r="X518" s="2">
        <v>-1239</v>
      </c>
      <c r="Y518">
        <v>0</v>
      </c>
      <c r="Z518">
        <v>0</v>
      </c>
      <c r="AA518">
        <v>0</v>
      </c>
    </row>
    <row r="519" spans="1:27" x14ac:dyDescent="0.35">
      <c r="A519">
        <v>3447</v>
      </c>
      <c r="B519">
        <v>0</v>
      </c>
      <c r="C519" s="1">
        <v>42247</v>
      </c>
      <c r="D519">
        <v>1</v>
      </c>
      <c r="E519" t="s">
        <v>334</v>
      </c>
      <c r="F519" t="s">
        <v>459</v>
      </c>
      <c r="G519" s="1">
        <v>42217</v>
      </c>
      <c r="H519" s="2">
        <v>19600</v>
      </c>
      <c r="I519" s="2">
        <f t="shared" si="8"/>
        <v>-19599</v>
      </c>
      <c r="J519">
        <v>1</v>
      </c>
      <c r="K519" t="s">
        <v>23</v>
      </c>
      <c r="L519">
        <v>10700040</v>
      </c>
      <c r="M519" t="s">
        <v>65</v>
      </c>
      <c r="N519">
        <v>20500</v>
      </c>
      <c r="O519" t="s">
        <v>42</v>
      </c>
      <c r="P519" t="s">
        <v>523</v>
      </c>
      <c r="Q519" t="s">
        <v>43</v>
      </c>
      <c r="R519">
        <v>164500</v>
      </c>
      <c r="S519" t="s">
        <v>63</v>
      </c>
      <c r="T519">
        <v>0</v>
      </c>
      <c r="U519" s="2">
        <v>147500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 x14ac:dyDescent="0.35">
      <c r="A520">
        <v>3448</v>
      </c>
      <c r="B520">
        <v>0</v>
      </c>
      <c r="C520" s="1">
        <v>42247</v>
      </c>
      <c r="D520">
        <v>1</v>
      </c>
      <c r="E520" t="s">
        <v>334</v>
      </c>
      <c r="F520" t="s">
        <v>459</v>
      </c>
      <c r="G520" s="1">
        <v>42217</v>
      </c>
      <c r="H520" s="2">
        <v>19600</v>
      </c>
      <c r="I520" s="2">
        <f t="shared" si="8"/>
        <v>-19599</v>
      </c>
      <c r="J520">
        <v>1</v>
      </c>
      <c r="K520" t="s">
        <v>23</v>
      </c>
      <c r="L520">
        <v>10700040</v>
      </c>
      <c r="M520" t="s">
        <v>65</v>
      </c>
      <c r="N520">
        <v>20500</v>
      </c>
      <c r="O520" t="s">
        <v>42</v>
      </c>
      <c r="P520" t="s">
        <v>523</v>
      </c>
      <c r="Q520" t="s">
        <v>43</v>
      </c>
      <c r="R520">
        <v>164500</v>
      </c>
      <c r="S520" t="s">
        <v>63</v>
      </c>
      <c r="T520">
        <v>0</v>
      </c>
      <c r="U520" s="2">
        <v>82819.990000000005</v>
      </c>
      <c r="V520" s="2">
        <v>-4140.99</v>
      </c>
      <c r="W520">
        <v>0</v>
      </c>
      <c r="X520" s="2">
        <v>-4140.99</v>
      </c>
      <c r="Y520">
        <v>0</v>
      </c>
      <c r="Z520">
        <v>0</v>
      </c>
      <c r="AA520">
        <v>0</v>
      </c>
    </row>
    <row r="521" spans="1:27" x14ac:dyDescent="0.35">
      <c r="A521">
        <v>3451</v>
      </c>
      <c r="B521">
        <v>0</v>
      </c>
      <c r="C521" s="1">
        <v>42247</v>
      </c>
      <c r="D521">
        <v>1</v>
      </c>
      <c r="E521" t="s">
        <v>334</v>
      </c>
      <c r="F521" t="s">
        <v>461</v>
      </c>
      <c r="G521" s="1">
        <v>42217</v>
      </c>
      <c r="H521" s="2">
        <v>7375</v>
      </c>
      <c r="I521" s="2">
        <f t="shared" si="8"/>
        <v>-7374</v>
      </c>
      <c r="J521">
        <v>1</v>
      </c>
      <c r="K521" t="s">
        <v>23</v>
      </c>
      <c r="L521">
        <v>10700040</v>
      </c>
      <c r="M521" t="s">
        <v>65</v>
      </c>
      <c r="N521">
        <v>20500</v>
      </c>
      <c r="O521" t="s">
        <v>42</v>
      </c>
      <c r="P521" t="s">
        <v>523</v>
      </c>
      <c r="Q521" t="s">
        <v>43</v>
      </c>
      <c r="R521">
        <v>164500</v>
      </c>
      <c r="S521" t="s">
        <v>63</v>
      </c>
      <c r="T521">
        <v>0</v>
      </c>
      <c r="U521" s="2">
        <v>82819.990000000005</v>
      </c>
      <c r="V521" s="2">
        <v>-4140.99</v>
      </c>
      <c r="W521">
        <v>0</v>
      </c>
      <c r="X521" s="2">
        <v>-4140.99</v>
      </c>
      <c r="Y521">
        <v>0</v>
      </c>
      <c r="Z521">
        <v>0</v>
      </c>
      <c r="AA521">
        <v>0</v>
      </c>
    </row>
    <row r="522" spans="1:27" x14ac:dyDescent="0.35">
      <c r="A522">
        <v>3531</v>
      </c>
      <c r="B522">
        <v>0</v>
      </c>
      <c r="C522" s="1">
        <v>42338</v>
      </c>
      <c r="D522">
        <v>1</v>
      </c>
      <c r="E522" t="s">
        <v>334</v>
      </c>
      <c r="F522" t="s">
        <v>468</v>
      </c>
      <c r="G522" s="1">
        <v>42339</v>
      </c>
      <c r="H522" s="2">
        <v>10875</v>
      </c>
      <c r="I522" s="2">
        <f t="shared" si="8"/>
        <v>-10874</v>
      </c>
      <c r="J522">
        <v>1</v>
      </c>
      <c r="K522" t="s">
        <v>23</v>
      </c>
      <c r="L522">
        <v>10700040</v>
      </c>
      <c r="M522" t="s">
        <v>65</v>
      </c>
      <c r="N522">
        <v>20500</v>
      </c>
      <c r="O522" t="s">
        <v>42</v>
      </c>
      <c r="P522" t="s">
        <v>523</v>
      </c>
      <c r="Q522" t="s">
        <v>43</v>
      </c>
      <c r="R522">
        <v>164500</v>
      </c>
      <c r="S522" t="s">
        <v>63</v>
      </c>
      <c r="T522">
        <v>0</v>
      </c>
      <c r="U522" s="2">
        <v>82819.990000000005</v>
      </c>
      <c r="V522" s="2">
        <v>-1380.99</v>
      </c>
      <c r="W522">
        <v>0</v>
      </c>
      <c r="X522" s="2">
        <v>-1380.99</v>
      </c>
      <c r="Y522">
        <v>0</v>
      </c>
      <c r="Z522">
        <v>0</v>
      </c>
      <c r="AA522">
        <v>0</v>
      </c>
    </row>
    <row r="523" spans="1:27" x14ac:dyDescent="0.35">
      <c r="A523">
        <v>3535</v>
      </c>
      <c r="B523">
        <v>0</v>
      </c>
      <c r="C523" s="1">
        <v>42369</v>
      </c>
      <c r="D523">
        <v>1</v>
      </c>
      <c r="E523" t="s">
        <v>334</v>
      </c>
      <c r="F523" t="s">
        <v>469</v>
      </c>
      <c r="G523" s="1">
        <v>42339</v>
      </c>
      <c r="H523" s="2">
        <v>8436</v>
      </c>
      <c r="I523" s="2">
        <f t="shared" si="8"/>
        <v>-8435</v>
      </c>
      <c r="J523">
        <v>1</v>
      </c>
      <c r="K523" t="s">
        <v>23</v>
      </c>
      <c r="L523">
        <v>10700040</v>
      </c>
      <c r="M523" t="s">
        <v>65</v>
      </c>
      <c r="N523">
        <v>20500</v>
      </c>
      <c r="O523" t="s">
        <v>42</v>
      </c>
      <c r="P523" t="s">
        <v>523</v>
      </c>
      <c r="Q523" t="s">
        <v>43</v>
      </c>
      <c r="R523">
        <v>164500</v>
      </c>
      <c r="S523" t="s">
        <v>63</v>
      </c>
      <c r="T523">
        <v>0</v>
      </c>
      <c r="U523" s="2">
        <v>82819.990000000005</v>
      </c>
      <c r="V523" s="2">
        <v>-1380.99</v>
      </c>
      <c r="W523">
        <v>0</v>
      </c>
      <c r="X523" s="2">
        <v>-1380.99</v>
      </c>
      <c r="Y523">
        <v>0</v>
      </c>
      <c r="Z523">
        <v>0</v>
      </c>
      <c r="AA523">
        <v>0</v>
      </c>
    </row>
    <row r="524" spans="1:27" x14ac:dyDescent="0.35">
      <c r="A524">
        <v>3666</v>
      </c>
      <c r="B524">
        <v>0</v>
      </c>
      <c r="C524" s="1">
        <v>42886</v>
      </c>
      <c r="D524">
        <v>1</v>
      </c>
      <c r="E524" t="s">
        <v>334</v>
      </c>
      <c r="F524" t="s">
        <v>475</v>
      </c>
      <c r="G524" s="1">
        <v>42856</v>
      </c>
      <c r="H524" s="2">
        <v>109183.2</v>
      </c>
      <c r="I524" s="2">
        <f t="shared" si="8"/>
        <v>-109182.2</v>
      </c>
      <c r="J524">
        <v>1</v>
      </c>
      <c r="K524" t="s">
        <v>23</v>
      </c>
      <c r="L524">
        <v>10700040</v>
      </c>
      <c r="M524" t="s">
        <v>65</v>
      </c>
      <c r="N524">
        <v>20600</v>
      </c>
      <c r="O524" t="s">
        <v>59</v>
      </c>
      <c r="P524" t="s">
        <v>523</v>
      </c>
      <c r="Q524" t="s">
        <v>31</v>
      </c>
      <c r="R524">
        <v>164500</v>
      </c>
      <c r="S524" t="s">
        <v>63</v>
      </c>
      <c r="T524">
        <v>0</v>
      </c>
      <c r="U524" s="2">
        <v>82819.990000000005</v>
      </c>
      <c r="V524" s="2">
        <v>-1380.99</v>
      </c>
      <c r="W524">
        <v>0</v>
      </c>
      <c r="X524" s="2">
        <v>-1380.99</v>
      </c>
      <c r="Y524">
        <v>0</v>
      </c>
      <c r="Z524">
        <v>0</v>
      </c>
      <c r="AA524">
        <v>0</v>
      </c>
    </row>
    <row r="525" spans="1:27" x14ac:dyDescent="0.35">
      <c r="A525">
        <v>3667</v>
      </c>
      <c r="B525">
        <v>0</v>
      </c>
      <c r="C525" s="1">
        <v>42886</v>
      </c>
      <c r="D525">
        <v>1</v>
      </c>
      <c r="E525" t="s">
        <v>334</v>
      </c>
      <c r="F525" t="s">
        <v>475</v>
      </c>
      <c r="G525" s="1">
        <v>42856</v>
      </c>
      <c r="H525" s="2">
        <v>109183.2</v>
      </c>
      <c r="I525" s="2">
        <f t="shared" si="8"/>
        <v>-109182.2</v>
      </c>
      <c r="J525">
        <v>1</v>
      </c>
      <c r="K525" t="s">
        <v>23</v>
      </c>
      <c r="L525">
        <v>10700040</v>
      </c>
      <c r="M525" t="s">
        <v>65</v>
      </c>
      <c r="N525">
        <v>20600</v>
      </c>
      <c r="O525" t="s">
        <v>59</v>
      </c>
      <c r="P525" t="s">
        <v>523</v>
      </c>
      <c r="Q525" t="s">
        <v>31</v>
      </c>
      <c r="R525">
        <v>164500</v>
      </c>
      <c r="S525" t="s">
        <v>63</v>
      </c>
      <c r="T525">
        <v>0</v>
      </c>
      <c r="U525" s="2">
        <v>82819.990000000005</v>
      </c>
      <c r="V525" s="2">
        <v>-1380.99</v>
      </c>
      <c r="W525">
        <v>0</v>
      </c>
      <c r="X525" s="2">
        <v>-1380.99</v>
      </c>
      <c r="Y525">
        <v>0</v>
      </c>
      <c r="Z525">
        <v>0</v>
      </c>
      <c r="AA525">
        <v>0</v>
      </c>
    </row>
    <row r="526" spans="1:27" x14ac:dyDescent="0.35">
      <c r="A526">
        <v>3668</v>
      </c>
      <c r="B526">
        <v>0</v>
      </c>
      <c r="C526" s="1">
        <v>42886</v>
      </c>
      <c r="D526">
        <v>1</v>
      </c>
      <c r="E526" t="s">
        <v>334</v>
      </c>
      <c r="F526" t="s">
        <v>475</v>
      </c>
      <c r="G526" s="1">
        <v>42856</v>
      </c>
      <c r="H526" s="2">
        <v>109183.2</v>
      </c>
      <c r="I526" s="2">
        <f t="shared" si="8"/>
        <v>-109182.2</v>
      </c>
      <c r="J526">
        <v>1</v>
      </c>
      <c r="K526" t="s">
        <v>23</v>
      </c>
      <c r="L526">
        <v>10700040</v>
      </c>
      <c r="M526" t="s">
        <v>65</v>
      </c>
      <c r="N526">
        <v>20600</v>
      </c>
      <c r="O526" t="s">
        <v>59</v>
      </c>
      <c r="P526" t="s">
        <v>523</v>
      </c>
      <c r="Q526" t="s">
        <v>31</v>
      </c>
      <c r="R526">
        <v>164500</v>
      </c>
      <c r="S526" t="s">
        <v>63</v>
      </c>
      <c r="T526">
        <v>0</v>
      </c>
      <c r="U526" s="2">
        <v>82819.990000000005</v>
      </c>
      <c r="V526" s="2">
        <v>-1380.99</v>
      </c>
      <c r="W526">
        <v>0</v>
      </c>
      <c r="X526" s="2">
        <v>-1380.99</v>
      </c>
      <c r="Y526">
        <v>0</v>
      </c>
      <c r="Z526">
        <v>0</v>
      </c>
      <c r="AA526">
        <v>0</v>
      </c>
    </row>
    <row r="527" spans="1:27" x14ac:dyDescent="0.35">
      <c r="A527">
        <v>3669</v>
      </c>
      <c r="B527">
        <v>0</v>
      </c>
      <c r="C527" s="1">
        <v>42886</v>
      </c>
      <c r="D527">
        <v>1</v>
      </c>
      <c r="E527" t="s">
        <v>334</v>
      </c>
      <c r="F527" t="s">
        <v>475</v>
      </c>
      <c r="G527" s="1">
        <v>42856</v>
      </c>
      <c r="H527" s="2">
        <v>109183.2</v>
      </c>
      <c r="I527" s="2">
        <f t="shared" si="8"/>
        <v>-109182.2</v>
      </c>
      <c r="J527">
        <v>1</v>
      </c>
      <c r="K527" t="s">
        <v>23</v>
      </c>
      <c r="L527">
        <v>10700040</v>
      </c>
      <c r="M527" t="s">
        <v>65</v>
      </c>
      <c r="N527">
        <v>20600</v>
      </c>
      <c r="O527" t="s">
        <v>59</v>
      </c>
      <c r="P527" t="s">
        <v>523</v>
      </c>
      <c r="Q527" t="s">
        <v>31</v>
      </c>
      <c r="R527">
        <v>164500</v>
      </c>
      <c r="S527" t="s">
        <v>63</v>
      </c>
      <c r="T527">
        <v>0</v>
      </c>
      <c r="U527" s="2">
        <v>82819.990000000005</v>
      </c>
      <c r="V527" s="2">
        <v>-1380.99</v>
      </c>
      <c r="W527">
        <v>0</v>
      </c>
      <c r="X527" s="2">
        <v>-1380.99</v>
      </c>
      <c r="Y527">
        <v>0</v>
      </c>
      <c r="Z527">
        <v>0</v>
      </c>
      <c r="AA527">
        <v>0</v>
      </c>
    </row>
    <row r="528" spans="1:27" x14ac:dyDescent="0.35">
      <c r="A528">
        <v>3771</v>
      </c>
      <c r="B528">
        <v>0</v>
      </c>
      <c r="C528" s="1">
        <v>43281</v>
      </c>
      <c r="D528">
        <v>1</v>
      </c>
      <c r="E528" t="s">
        <v>334</v>
      </c>
      <c r="F528" t="s">
        <v>481</v>
      </c>
      <c r="G528" s="1">
        <v>43252</v>
      </c>
      <c r="H528" s="2">
        <v>478978.43</v>
      </c>
      <c r="I528" s="2">
        <f t="shared" si="8"/>
        <v>-478977.43</v>
      </c>
      <c r="J528">
        <v>1</v>
      </c>
      <c r="K528" t="s">
        <v>23</v>
      </c>
      <c r="L528">
        <v>10700040</v>
      </c>
      <c r="M528" t="s">
        <v>65</v>
      </c>
      <c r="N528">
        <v>20500</v>
      </c>
      <c r="O528" t="s">
        <v>42</v>
      </c>
      <c r="P528" t="s">
        <v>523</v>
      </c>
      <c r="Q528" t="s">
        <v>43</v>
      </c>
      <c r="R528">
        <v>164500</v>
      </c>
      <c r="S528" t="s">
        <v>63</v>
      </c>
      <c r="T528">
        <v>0</v>
      </c>
      <c r="U528" s="2">
        <v>82819.990000000005</v>
      </c>
      <c r="V528" s="2">
        <v>-1380.99</v>
      </c>
      <c r="W528">
        <v>0</v>
      </c>
      <c r="X528" s="2">
        <v>-1380.99</v>
      </c>
      <c r="Y528">
        <v>0</v>
      </c>
      <c r="Z528">
        <v>0</v>
      </c>
      <c r="AA528">
        <v>0</v>
      </c>
    </row>
    <row r="529" spans="1:27" x14ac:dyDescent="0.35">
      <c r="A529">
        <v>4077</v>
      </c>
      <c r="B529">
        <v>0</v>
      </c>
      <c r="C529" s="1">
        <v>44469</v>
      </c>
      <c r="D529">
        <v>1</v>
      </c>
      <c r="E529" t="s">
        <v>389</v>
      </c>
      <c r="F529" t="s">
        <v>494</v>
      </c>
      <c r="G529" s="1">
        <v>44440</v>
      </c>
      <c r="H529" s="2">
        <v>217332.5</v>
      </c>
      <c r="I529" s="2">
        <f t="shared" si="8"/>
        <v>-144889.5</v>
      </c>
      <c r="J529" s="2">
        <v>72443</v>
      </c>
      <c r="K529" t="s">
        <v>23</v>
      </c>
      <c r="L529">
        <v>10700040</v>
      </c>
      <c r="M529" t="s">
        <v>65</v>
      </c>
      <c r="N529">
        <v>20500</v>
      </c>
      <c r="O529" t="s">
        <v>42</v>
      </c>
      <c r="P529" t="s">
        <v>523</v>
      </c>
      <c r="Q529" t="s">
        <v>43</v>
      </c>
      <c r="R529">
        <v>164500</v>
      </c>
      <c r="S529" t="s">
        <v>63</v>
      </c>
      <c r="T529">
        <v>0</v>
      </c>
      <c r="U529" s="2">
        <v>82819.990000000005</v>
      </c>
      <c r="V529" s="2">
        <v>-1380.99</v>
      </c>
      <c r="W529">
        <v>0</v>
      </c>
      <c r="X529" s="2">
        <v>-1380.99</v>
      </c>
      <c r="Y529">
        <v>0</v>
      </c>
      <c r="Z529">
        <v>0</v>
      </c>
      <c r="AA529">
        <v>0</v>
      </c>
    </row>
    <row r="530" spans="1:27" x14ac:dyDescent="0.35">
      <c r="A530">
        <v>4139</v>
      </c>
      <c r="B530">
        <v>0</v>
      </c>
      <c r="C530" s="1">
        <v>44773</v>
      </c>
      <c r="D530">
        <v>1</v>
      </c>
      <c r="E530" t="s">
        <v>389</v>
      </c>
      <c r="F530" t="s">
        <v>497</v>
      </c>
      <c r="G530" s="1">
        <v>44743</v>
      </c>
      <c r="H530" s="2">
        <v>255063.5</v>
      </c>
      <c r="I530" s="2">
        <f t="shared" si="8"/>
        <v>-127532.5</v>
      </c>
      <c r="J530" s="2">
        <v>127531</v>
      </c>
      <c r="K530" t="s">
        <v>23</v>
      </c>
      <c r="L530">
        <v>10700040</v>
      </c>
      <c r="M530" t="s">
        <v>65</v>
      </c>
      <c r="N530">
        <v>20500</v>
      </c>
      <c r="O530" t="s">
        <v>42</v>
      </c>
      <c r="P530" t="s">
        <v>523</v>
      </c>
      <c r="Q530" t="s">
        <v>52</v>
      </c>
      <c r="R530">
        <v>164500</v>
      </c>
      <c r="S530" t="s">
        <v>63</v>
      </c>
      <c r="T530">
        <v>0</v>
      </c>
      <c r="U530" s="2">
        <v>82819.990000000005</v>
      </c>
      <c r="V530" s="2">
        <v>-1380.99</v>
      </c>
      <c r="W530">
        <v>0</v>
      </c>
      <c r="X530" s="2">
        <v>-1380.99</v>
      </c>
      <c r="Y530">
        <v>0</v>
      </c>
      <c r="Z530">
        <v>0</v>
      </c>
      <c r="AA530">
        <v>0</v>
      </c>
    </row>
    <row r="531" spans="1:27" x14ac:dyDescent="0.35">
      <c r="A531">
        <v>4365</v>
      </c>
      <c r="B531">
        <v>0</v>
      </c>
      <c r="C531" s="1">
        <v>45535</v>
      </c>
      <c r="D531">
        <v>1</v>
      </c>
      <c r="E531" t="s">
        <v>20</v>
      </c>
      <c r="F531" t="s">
        <v>503</v>
      </c>
      <c r="G531" s="1">
        <v>45108</v>
      </c>
      <c r="H531" s="2">
        <v>231931</v>
      </c>
      <c r="I531" s="2">
        <f t="shared" si="8"/>
        <v>-69579</v>
      </c>
      <c r="J531" s="2">
        <v>162352</v>
      </c>
      <c r="K531" t="s">
        <v>23</v>
      </c>
      <c r="L531">
        <v>10700040</v>
      </c>
      <c r="M531" t="s">
        <v>65</v>
      </c>
      <c r="N531">
        <v>20600</v>
      </c>
      <c r="O531" t="s">
        <v>59</v>
      </c>
      <c r="P531" t="s">
        <v>523</v>
      </c>
      <c r="Q531" t="s">
        <v>59</v>
      </c>
      <c r="R531">
        <v>164500</v>
      </c>
      <c r="S531" t="s">
        <v>63</v>
      </c>
      <c r="T531">
        <v>0</v>
      </c>
      <c r="U531" s="2">
        <v>420180</v>
      </c>
      <c r="V531" s="2">
        <v>-7003</v>
      </c>
      <c r="W531">
        <v>0</v>
      </c>
      <c r="X531" s="2">
        <v>-7003</v>
      </c>
      <c r="Y531">
        <v>0</v>
      </c>
      <c r="Z531">
        <v>0</v>
      </c>
      <c r="AA531">
        <v>0</v>
      </c>
    </row>
    <row r="532" spans="1:27" x14ac:dyDescent="0.35">
      <c r="A532">
        <v>2408</v>
      </c>
      <c r="B532">
        <v>0</v>
      </c>
      <c r="C532" s="1">
        <v>32465</v>
      </c>
      <c r="D532">
        <v>1</v>
      </c>
      <c r="E532" t="s">
        <v>20</v>
      </c>
      <c r="F532" t="s">
        <v>108</v>
      </c>
      <c r="G532" s="1">
        <v>32465</v>
      </c>
      <c r="H532" s="2">
        <v>2209</v>
      </c>
      <c r="I532" s="2">
        <f t="shared" si="8"/>
        <v>-2208</v>
      </c>
      <c r="J532">
        <v>1</v>
      </c>
      <c r="K532" t="s">
        <v>23</v>
      </c>
      <c r="L532">
        <v>30700040</v>
      </c>
      <c r="M532" t="s">
        <v>62</v>
      </c>
      <c r="N532">
        <v>13300</v>
      </c>
      <c r="O532" t="s">
        <v>46</v>
      </c>
      <c r="P532" t="s">
        <v>528</v>
      </c>
      <c r="Q532" t="s">
        <v>47</v>
      </c>
      <c r="R532">
        <v>164500</v>
      </c>
      <c r="S532" t="s">
        <v>63</v>
      </c>
      <c r="T532">
        <v>0</v>
      </c>
      <c r="U532" s="2">
        <v>420180</v>
      </c>
      <c r="V532" s="2">
        <v>-7003</v>
      </c>
      <c r="W532">
        <v>0</v>
      </c>
      <c r="X532" s="2">
        <v>-7003</v>
      </c>
      <c r="Y532">
        <v>0</v>
      </c>
      <c r="Z532">
        <v>0</v>
      </c>
      <c r="AA532">
        <v>0</v>
      </c>
    </row>
    <row r="533" spans="1:27" ht="15" thickBot="1" x14ac:dyDescent="0.4">
      <c r="H533" s="3">
        <f>SUM(H2:H532)</f>
        <v>55685219.82000003</v>
      </c>
      <c r="I533" s="3">
        <f>SUM(I2:I532)</f>
        <v>-44315975.819999985</v>
      </c>
      <c r="J533" s="3">
        <f>SUM(J2:J532)</f>
        <v>11369244</v>
      </c>
    </row>
    <row r="534" spans="1:27" ht="15" thickTop="1" x14ac:dyDescent="0.35"/>
  </sheetData>
  <autoFilter ref="A1:Y532" xr:uid="{4576AC79-E511-4C43-80E9-C052C1FBEB23}"/>
  <sortState xmlns:xlrd2="http://schemas.microsoft.com/office/spreadsheetml/2017/richdata2" ref="A3:S532">
    <sortCondition ref="P3:P532"/>
    <sortCondition ref="C3:C532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38A99-0E30-4FAB-B25F-3B6B8893E2F5}">
  <dimension ref="A1:M32"/>
  <sheetViews>
    <sheetView topLeftCell="A13" workbookViewId="0">
      <selection activeCell="M2" sqref="M2:M14"/>
    </sheetView>
  </sheetViews>
  <sheetFormatPr defaultRowHeight="14.5" x14ac:dyDescent="0.35"/>
  <cols>
    <col min="2" max="2" width="20.54296875" bestFit="1" customWidth="1"/>
    <col min="4" max="4" width="8.81640625" bestFit="1" customWidth="1"/>
    <col min="5" max="5" width="22.90625" bestFit="1" customWidth="1"/>
    <col min="7" max="7" width="13.90625" customWidth="1"/>
    <col min="8" max="8" width="24.1796875" customWidth="1"/>
    <col min="10" max="10" width="7.08984375" bestFit="1" customWidth="1"/>
    <col min="11" max="11" width="12" bestFit="1" customWidth="1"/>
    <col min="13" max="13" width="7.08984375" bestFit="1" customWidth="1"/>
  </cols>
  <sheetData>
    <row r="1" spans="1:13" x14ac:dyDescent="0.35">
      <c r="A1" s="5" t="s">
        <v>9</v>
      </c>
      <c r="B1" s="5" t="s">
        <v>10</v>
      </c>
      <c r="D1" t="s">
        <v>8</v>
      </c>
      <c r="E1" t="s">
        <v>532</v>
      </c>
      <c r="G1" s="5" t="s">
        <v>533</v>
      </c>
      <c r="H1" s="5" t="s">
        <v>534</v>
      </c>
      <c r="J1" s="7" t="s">
        <v>520</v>
      </c>
      <c r="K1" s="7" t="s">
        <v>11</v>
      </c>
      <c r="L1" s="7"/>
      <c r="M1" s="7" t="s">
        <v>520</v>
      </c>
    </row>
    <row r="2" spans="1:13" x14ac:dyDescent="0.35">
      <c r="A2">
        <v>21500</v>
      </c>
      <c r="B2" t="s">
        <v>310</v>
      </c>
      <c r="D2">
        <v>10700040</v>
      </c>
      <c r="E2" t="s">
        <v>65</v>
      </c>
      <c r="G2">
        <v>164500</v>
      </c>
      <c r="H2" t="s">
        <v>63</v>
      </c>
      <c r="J2" t="s">
        <v>521</v>
      </c>
      <c r="K2" t="s">
        <v>311</v>
      </c>
      <c r="M2" t="s">
        <v>521</v>
      </c>
    </row>
    <row r="3" spans="1:13" x14ac:dyDescent="0.35">
      <c r="A3">
        <v>21601</v>
      </c>
      <c r="B3" t="s">
        <v>428</v>
      </c>
      <c r="D3">
        <v>30700040</v>
      </c>
      <c r="E3" t="s">
        <v>62</v>
      </c>
      <c r="J3" t="s">
        <v>524</v>
      </c>
      <c r="K3" t="s">
        <v>25</v>
      </c>
      <c r="M3" t="s">
        <v>524</v>
      </c>
    </row>
    <row r="4" spans="1:13" x14ac:dyDescent="0.35">
      <c r="A4">
        <v>21602</v>
      </c>
      <c r="B4" t="s">
        <v>425</v>
      </c>
      <c r="J4" t="s">
        <v>525</v>
      </c>
      <c r="K4" t="s">
        <v>32</v>
      </c>
      <c r="M4" t="s">
        <v>525</v>
      </c>
    </row>
    <row r="5" spans="1:13" x14ac:dyDescent="0.35">
      <c r="A5">
        <v>34100</v>
      </c>
      <c r="B5" t="s">
        <v>24</v>
      </c>
      <c r="J5" t="s">
        <v>525</v>
      </c>
      <c r="K5" t="s">
        <v>85</v>
      </c>
      <c r="M5" t="s">
        <v>369</v>
      </c>
    </row>
    <row r="6" spans="1:13" x14ac:dyDescent="0.35">
      <c r="A6">
        <v>17000</v>
      </c>
      <c r="B6" t="s">
        <v>27</v>
      </c>
      <c r="J6" t="s">
        <v>525</v>
      </c>
      <c r="K6" t="s">
        <v>48</v>
      </c>
      <c r="M6" t="s">
        <v>526</v>
      </c>
    </row>
    <row r="7" spans="1:13" x14ac:dyDescent="0.35">
      <c r="A7">
        <v>15100</v>
      </c>
      <c r="B7" t="s">
        <v>84</v>
      </c>
      <c r="J7" t="s">
        <v>525</v>
      </c>
      <c r="K7" t="s">
        <v>98</v>
      </c>
      <c r="M7" t="s">
        <v>527</v>
      </c>
    </row>
    <row r="8" spans="1:13" x14ac:dyDescent="0.35">
      <c r="A8">
        <v>11300</v>
      </c>
      <c r="B8" t="s">
        <v>29</v>
      </c>
      <c r="J8" t="s">
        <v>369</v>
      </c>
      <c r="K8" t="s">
        <v>370</v>
      </c>
      <c r="M8" t="s">
        <v>26</v>
      </c>
    </row>
    <row r="9" spans="1:13" x14ac:dyDescent="0.35">
      <c r="A9">
        <v>11000</v>
      </c>
      <c r="B9" t="s">
        <v>97</v>
      </c>
      <c r="J9" t="s">
        <v>526</v>
      </c>
      <c r="K9" t="s">
        <v>36</v>
      </c>
      <c r="M9" t="s">
        <v>522</v>
      </c>
    </row>
    <row r="10" spans="1:13" x14ac:dyDescent="0.35">
      <c r="A10">
        <v>52000</v>
      </c>
      <c r="B10" t="s">
        <v>369</v>
      </c>
      <c r="J10" t="s">
        <v>526</v>
      </c>
      <c r="K10" t="s">
        <v>45</v>
      </c>
      <c r="M10" t="s">
        <v>49</v>
      </c>
    </row>
    <row r="11" spans="1:13" x14ac:dyDescent="0.35">
      <c r="A11">
        <v>20540</v>
      </c>
      <c r="B11" t="s">
        <v>36</v>
      </c>
      <c r="J11" t="s">
        <v>527</v>
      </c>
      <c r="K11" t="s">
        <v>31</v>
      </c>
      <c r="M11" t="s">
        <v>382</v>
      </c>
    </row>
    <row r="12" spans="1:13" x14ac:dyDescent="0.35">
      <c r="A12">
        <v>33000</v>
      </c>
      <c r="B12" t="s">
        <v>30</v>
      </c>
      <c r="J12" t="s">
        <v>527</v>
      </c>
      <c r="K12" t="s">
        <v>22</v>
      </c>
      <c r="M12" t="s">
        <v>384</v>
      </c>
    </row>
    <row r="13" spans="1:13" x14ac:dyDescent="0.35">
      <c r="A13">
        <v>23500</v>
      </c>
      <c r="B13" t="s">
        <v>51</v>
      </c>
      <c r="J13" t="s">
        <v>26</v>
      </c>
      <c r="K13" t="s">
        <v>26</v>
      </c>
      <c r="M13" t="s">
        <v>523</v>
      </c>
    </row>
    <row r="14" spans="1:13" x14ac:dyDescent="0.35">
      <c r="A14">
        <v>22200</v>
      </c>
      <c r="B14" t="s">
        <v>34</v>
      </c>
      <c r="J14" t="s">
        <v>26</v>
      </c>
      <c r="K14" t="s">
        <v>141</v>
      </c>
      <c r="M14" t="s">
        <v>528</v>
      </c>
    </row>
    <row r="15" spans="1:13" x14ac:dyDescent="0.35">
      <c r="A15">
        <v>22100</v>
      </c>
      <c r="B15" t="s">
        <v>44</v>
      </c>
      <c r="J15" t="s">
        <v>26</v>
      </c>
      <c r="K15" t="s">
        <v>38</v>
      </c>
    </row>
    <row r="16" spans="1:13" x14ac:dyDescent="0.35">
      <c r="A16">
        <v>22101</v>
      </c>
      <c r="B16" t="s">
        <v>57</v>
      </c>
      <c r="J16" t="s">
        <v>26</v>
      </c>
      <c r="K16" t="s">
        <v>88</v>
      </c>
    </row>
    <row r="17" spans="1:11" x14ac:dyDescent="0.35">
      <c r="A17">
        <v>21099</v>
      </c>
      <c r="B17" t="s">
        <v>388</v>
      </c>
      <c r="J17" t="s">
        <v>26</v>
      </c>
      <c r="K17" t="s">
        <v>54</v>
      </c>
    </row>
    <row r="18" spans="1:11" x14ac:dyDescent="0.35">
      <c r="A18">
        <v>22000</v>
      </c>
      <c r="B18" t="s">
        <v>53</v>
      </c>
      <c r="J18" t="s">
        <v>26</v>
      </c>
      <c r="K18" t="s">
        <v>28</v>
      </c>
    </row>
    <row r="19" spans="1:11" x14ac:dyDescent="0.35">
      <c r="A19">
        <v>23000</v>
      </c>
      <c r="B19" t="s">
        <v>90</v>
      </c>
      <c r="J19" t="s">
        <v>26</v>
      </c>
      <c r="K19" t="s">
        <v>35</v>
      </c>
    </row>
    <row r="20" spans="1:11" x14ac:dyDescent="0.35">
      <c r="A20">
        <v>22102</v>
      </c>
      <c r="B20" t="s">
        <v>37</v>
      </c>
      <c r="J20" t="s">
        <v>522</v>
      </c>
      <c r="K20" t="s">
        <v>56</v>
      </c>
    </row>
    <row r="21" spans="1:11" x14ac:dyDescent="0.35">
      <c r="A21">
        <v>35000</v>
      </c>
      <c r="B21" t="s">
        <v>405</v>
      </c>
      <c r="J21" t="s">
        <v>49</v>
      </c>
      <c r="K21" t="s">
        <v>49</v>
      </c>
    </row>
    <row r="22" spans="1:11" x14ac:dyDescent="0.35">
      <c r="A22">
        <v>33200</v>
      </c>
      <c r="B22" t="s">
        <v>496</v>
      </c>
      <c r="J22" t="s">
        <v>49</v>
      </c>
      <c r="K22" t="s">
        <v>22</v>
      </c>
    </row>
    <row r="23" spans="1:11" x14ac:dyDescent="0.35">
      <c r="A23">
        <v>23600</v>
      </c>
      <c r="B23" t="s">
        <v>21</v>
      </c>
      <c r="J23" t="s">
        <v>382</v>
      </c>
      <c r="K23" t="s">
        <v>48</v>
      </c>
    </row>
    <row r="24" spans="1:11" x14ac:dyDescent="0.35">
      <c r="A24">
        <v>43000</v>
      </c>
      <c r="B24" t="s">
        <v>382</v>
      </c>
      <c r="J24" t="s">
        <v>384</v>
      </c>
      <c r="K24" t="s">
        <v>384</v>
      </c>
    </row>
    <row r="25" spans="1:11" x14ac:dyDescent="0.35">
      <c r="A25">
        <v>25000</v>
      </c>
      <c r="B25" t="s">
        <v>383</v>
      </c>
      <c r="J25" t="s">
        <v>523</v>
      </c>
      <c r="K25" t="s">
        <v>43</v>
      </c>
    </row>
    <row r="26" spans="1:11" x14ac:dyDescent="0.35">
      <c r="A26">
        <v>20500</v>
      </c>
      <c r="B26" t="s">
        <v>42</v>
      </c>
      <c r="J26" t="s">
        <v>523</v>
      </c>
      <c r="K26" t="s">
        <v>332</v>
      </c>
    </row>
    <row r="27" spans="1:11" x14ac:dyDescent="0.35">
      <c r="A27">
        <v>20800</v>
      </c>
      <c r="B27" t="s">
        <v>41</v>
      </c>
      <c r="J27" t="s">
        <v>523</v>
      </c>
      <c r="K27" t="s">
        <v>415</v>
      </c>
    </row>
    <row r="28" spans="1:11" x14ac:dyDescent="0.35">
      <c r="A28">
        <v>24000</v>
      </c>
      <c r="B28" t="s">
        <v>331</v>
      </c>
      <c r="J28" t="s">
        <v>523</v>
      </c>
      <c r="K28" t="s">
        <v>31</v>
      </c>
    </row>
    <row r="29" spans="1:11" x14ac:dyDescent="0.35">
      <c r="A29">
        <v>20900</v>
      </c>
      <c r="B29" t="s">
        <v>39</v>
      </c>
      <c r="J29" t="s">
        <v>523</v>
      </c>
      <c r="K29" t="s">
        <v>40</v>
      </c>
    </row>
    <row r="30" spans="1:11" x14ac:dyDescent="0.35">
      <c r="A30">
        <v>20600</v>
      </c>
      <c r="B30" t="s">
        <v>59</v>
      </c>
      <c r="J30" t="s">
        <v>523</v>
      </c>
      <c r="K30" t="s">
        <v>59</v>
      </c>
    </row>
    <row r="31" spans="1:11" x14ac:dyDescent="0.35">
      <c r="A31">
        <v>13300</v>
      </c>
      <c r="B31" t="s">
        <v>46</v>
      </c>
      <c r="J31" t="s">
        <v>523</v>
      </c>
      <c r="K31" t="s">
        <v>52</v>
      </c>
    </row>
    <row r="32" spans="1:11" x14ac:dyDescent="0.35">
      <c r="J32" t="s">
        <v>528</v>
      </c>
      <c r="K32" t="s">
        <v>47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 Ann E. Daba</dc:creator>
  <cp:lastModifiedBy>Karel Mark C. Dagus</cp:lastModifiedBy>
  <dcterms:created xsi:type="dcterms:W3CDTF">2025-01-31T02:25:09Z</dcterms:created>
  <dcterms:modified xsi:type="dcterms:W3CDTF">2026-04-04T08:55:25Z</dcterms:modified>
</cp:coreProperties>
</file>